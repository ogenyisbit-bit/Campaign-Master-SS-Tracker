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Overview 2025" sheetId="2" r:id="rId6"/>
    <sheet state="visible" name="General Campaigns 2025" sheetId="3" r:id="rId7"/>
    <sheet state="visible" name="Automatic Contact" sheetId="4" r:id="rId8"/>
    <sheet state="visible" name="ContactOutreach Progress" sheetId="5" r:id="rId9"/>
    <sheet state="visible" name="Content &amp; Usage Rights" sheetId="6" r:id="rId10"/>
    <sheet state="visible" name="Gifting Tracking" sheetId="7" r:id="rId11"/>
    <sheet state="visible" name="Affiliate Tracking" sheetId="8" r:id="rId12"/>
  </sheets>
  <definedNames/>
  <calcPr/>
</workbook>
</file>

<file path=xl/sharedStrings.xml><?xml version="1.0" encoding="utf-8"?>
<sst xmlns="http://schemas.openxmlformats.org/spreadsheetml/2006/main" count="289" uniqueCount="138">
  <si>
    <t>How to use this template:</t>
  </si>
  <si>
    <t>General Campaigns</t>
  </si>
  <si>
    <t>Gifting Campaigns</t>
  </si>
  <si>
    <t>Different tabs included in this spreadsheet:</t>
  </si>
  <si>
    <t xml:space="preserve">Handle / Account </t>
  </si>
  <si>
    <t>Month</t>
  </si>
  <si>
    <t>This template has a variety of tabs for you to track various processes in influencer marketing. Use the parts that you need!</t>
  </si>
  <si>
    <r>
      <rPr>
        <rFont val="Arial"/>
        <b/>
        <color theme="1"/>
      </rPr>
      <t xml:space="preserve">Overview 2025: </t>
    </r>
    <r>
      <rPr>
        <rFont val="Arial"/>
        <color theme="1"/>
      </rPr>
      <t xml:space="preserve">This sheet is your birds-eye-view of your campaigns month over month. You can update the more detailed sheets and this one should automatically update for you in real time. </t>
    </r>
  </si>
  <si>
    <t>Budget</t>
  </si>
  <si>
    <t>Email</t>
  </si>
  <si>
    <t>Code Redemptions</t>
  </si>
  <si>
    <t>Market</t>
  </si>
  <si>
    <t>Cost per Code</t>
  </si>
  <si>
    <t>Status</t>
  </si>
  <si>
    <t>Platform</t>
  </si>
  <si>
    <t>Sales</t>
  </si>
  <si>
    <r>
      <rPr>
        <rFont val="Arial"/>
        <color theme="1"/>
      </rPr>
      <t xml:space="preserve">Overview 2025 acts as a dashboard for month over month progress and metrics. It should autoupdate with metrics from "General Campaigns 2025" and "Gifting Tracking." </t>
    </r>
    <r>
      <rPr>
        <rFont val="Arial"/>
        <b/>
        <color theme="1"/>
      </rPr>
      <t>Feel free to add, remove, or change anything to make it useful for you.</t>
    </r>
    <r>
      <rPr>
        <rFont val="Arial"/>
        <color theme="1"/>
      </rPr>
      <t xml:space="preserve"> </t>
    </r>
  </si>
  <si>
    <t>Subs</t>
  </si>
  <si>
    <r>
      <rPr>
        <rFont val="Arial"/>
        <b/>
        <color theme="1"/>
      </rPr>
      <t xml:space="preserve">General Campaigns 2025: </t>
    </r>
    <r>
      <rPr>
        <rFont val="Arial"/>
        <color theme="1"/>
      </rPr>
      <t xml:space="preserve">This is your campaign overview. There's a lot of information in this tab, from influencer information to content metrics and sales data. You could, in theory, only use this sheet for everything if you didn't want to separate out your different campaigns or if you wanted to just track high-level information. If you prefer to use the other tabs to dive in further, feel free to remove any column that doesn't make sense here. </t>
    </r>
  </si>
  <si>
    <t>CAC</t>
  </si>
  <si>
    <t>ER</t>
  </si>
  <si>
    <t>Deliverables</t>
  </si>
  <si>
    <t xml:space="preserve">There is some duplicated information across a few of the different tabs – this is so you can prioritize the tabs that are useful to you. </t>
  </si>
  <si>
    <t>Expected Reach</t>
  </si>
  <si>
    <r>
      <rPr>
        <rFont val="Arial"/>
        <b/>
        <color theme="1"/>
      </rPr>
      <t xml:space="preserve">Contact/Outreach Progress: </t>
    </r>
    <r>
      <rPr>
        <rFont val="Arial"/>
        <color theme="1"/>
      </rPr>
      <t xml:space="preserve">This tab is pretty straightforward, it's to track your outreach efforts. Here, you can track influencer information, their contact status, last contact date, etc. You can also track baseline prices if you want to. </t>
    </r>
  </si>
  <si>
    <t xml:space="preserve"> </t>
  </si>
  <si>
    <t>For example, "General Campaigns 2025" works as a general tracking sheet with a variety of metrics. The other tabs track more specific aspects of your workflow. So if you just wanted a general tracking sheet, you could start with "General Campaigns 2025" and ignore the others. If you wanted something more specific,  you could use the other tabs to dive deeper into the day-to-day.</t>
  </si>
  <si>
    <t>CPM</t>
  </si>
  <si>
    <t>Code</t>
  </si>
  <si>
    <t>Approval Date</t>
  </si>
  <si>
    <t>Posting Date</t>
  </si>
  <si>
    <t>Live Content Link</t>
  </si>
  <si>
    <r>
      <rPr>
        <rFont val="Arial"/>
        <b/>
        <color theme="1"/>
      </rPr>
      <t xml:space="preserve">Content and Usage Rights: </t>
    </r>
    <r>
      <rPr>
        <rFont val="Arial"/>
        <color theme="1"/>
      </rPr>
      <t xml:space="preserve">In this tab, we've got a variety of metrics that you might want to track around content itself. You might want to adjust those metrics depending on what your campaign goals are. We included a bit of sales/CPM/ROI data (that is duplicated from General Campaigns) in case you wanted to see detailed sales data based on each deliverable. </t>
    </r>
  </si>
  <si>
    <t>Actual Reach</t>
  </si>
  <si>
    <t>ROI</t>
  </si>
  <si>
    <t>Actual CPM</t>
  </si>
  <si>
    <t>Cost per Code Redemption</t>
  </si>
  <si>
    <r>
      <rPr>
        <rFont val="Arial"/>
        <color theme="1"/>
      </rPr>
      <t xml:space="preserve">These tabs are centered around generating sales. If your goal is brand awareness, or content generation, or something else, you may want to change the metrics. Track what's important to </t>
    </r>
    <r>
      <rPr>
        <rFont val="Arial"/>
        <i/>
        <color theme="1"/>
      </rPr>
      <t>you</t>
    </r>
    <r>
      <rPr>
        <rFont val="Arial"/>
        <color theme="1"/>
      </rPr>
      <t xml:space="preserve">. Feel free to update these templates to make them as useful to you as possible. </t>
    </r>
  </si>
  <si>
    <t>Invoice 
Paid</t>
  </si>
  <si>
    <t>January</t>
  </si>
  <si>
    <r>
      <rPr>
        <rFont val="Verdana"/>
        <b/>
        <color rgb="FF000000"/>
      </rPr>
      <t xml:space="preserve">January 
</t>
    </r>
    <r>
      <rPr>
        <rFont val="Verdana"/>
        <b val="0"/>
        <color rgb="FF000000"/>
        <sz val="8.0"/>
      </rPr>
      <t>Conversions</t>
    </r>
  </si>
  <si>
    <r>
      <rPr>
        <rFont val="Arial"/>
        <b/>
        <color theme="1"/>
      </rPr>
      <t xml:space="preserve">Gifting Tracking: </t>
    </r>
    <r>
      <rPr>
        <rFont val="Arial"/>
        <color theme="1"/>
      </rPr>
      <t xml:space="preserve">This tab is specifically for gifting campaigns. Gifting campaigns have unique needs, like tracking codes and shipping information. We thought to include those things so you can track them easily. </t>
    </r>
  </si>
  <si>
    <r>
      <rPr>
        <rFont val="Arial"/>
        <b/>
        <color theme="1"/>
      </rPr>
      <t xml:space="preserve">Affiliate Tracking: </t>
    </r>
    <r>
      <rPr>
        <rFont val="Arial"/>
        <color theme="1"/>
      </rPr>
      <t>We recognize that maybe you'd like to keep affiliates separate from your paid and gifted campaigns. That's what this tab is for. If it doesn't make sense for you, feel free to ignore it!</t>
    </r>
  </si>
  <si>
    <t>Influencer Country</t>
  </si>
  <si>
    <t>Domain/Niche</t>
  </si>
  <si>
    <t>Last Contact Date</t>
  </si>
  <si>
    <t>Followers</t>
  </si>
  <si>
    <t>Price Quoted</t>
  </si>
  <si>
    <t>Price post Negotiation</t>
  </si>
  <si>
    <t>Deliverables Agreed Upon</t>
  </si>
  <si>
    <t>@therock</t>
  </si>
  <si>
    <t>Dwayne@therock.com</t>
  </si>
  <si>
    <t>United States</t>
  </si>
  <si>
    <t>Lifestyle/Health</t>
  </si>
  <si>
    <t>February</t>
  </si>
  <si>
    <t>Signed</t>
  </si>
  <si>
    <t>IG</t>
  </si>
  <si>
    <t>394.7M</t>
  </si>
  <si>
    <t xml:space="preserve">@therock </t>
  </si>
  <si>
    <t>Stories</t>
  </si>
  <si>
    <t>Reel</t>
  </si>
  <si>
    <t>TikTok</t>
  </si>
  <si>
    <t>March</t>
  </si>
  <si>
    <t>THEROCK20</t>
  </si>
  <si>
    <t>April</t>
  </si>
  <si>
    <r>
      <rPr>
        <rFont val="Verdana"/>
        <b/>
        <color rgb="FF000000"/>
      </rPr>
      <t>February</t>
    </r>
    <r>
      <rPr>
        <rFont val="Verdana"/>
        <b val="0"/>
        <color rgb="FF000000"/>
      </rPr>
      <t xml:space="preserve"> 
</t>
    </r>
    <r>
      <rPr>
        <rFont val="Verdana"/>
        <b val="0"/>
        <color rgb="FF000000"/>
        <sz val="8.0"/>
      </rPr>
      <t>[Main Goal]</t>
    </r>
  </si>
  <si>
    <t>May</t>
  </si>
  <si>
    <t>June</t>
  </si>
  <si>
    <t>July</t>
  </si>
  <si>
    <r>
      <rPr>
        <rFont val="Verdana"/>
        <b/>
        <color rgb="FF000000"/>
      </rPr>
      <t xml:space="preserve">March
</t>
    </r>
    <r>
      <rPr>
        <rFont val="Verdana"/>
        <b val="0"/>
        <color rgb="FF000000"/>
        <sz val="8.0"/>
      </rPr>
      <t>[Main Goal]</t>
    </r>
  </si>
  <si>
    <t xml:space="preserve">August </t>
  </si>
  <si>
    <t>September</t>
  </si>
  <si>
    <t>October</t>
  </si>
  <si>
    <r>
      <rPr>
        <rFont val="Verdana"/>
        <b/>
        <color rgb="FF000000"/>
      </rPr>
      <t xml:space="preserve">April
</t>
    </r>
    <r>
      <rPr>
        <rFont val="Verdana"/>
        <b val="0"/>
        <color rgb="FF000000"/>
        <sz val="8.0"/>
      </rPr>
      <t>[Main Goal]</t>
    </r>
  </si>
  <si>
    <t>November</t>
  </si>
  <si>
    <t>December</t>
  </si>
  <si>
    <r>
      <rPr>
        <rFont val="Verdana"/>
        <b/>
        <color rgb="FF000000"/>
      </rPr>
      <t xml:space="preserve">May
</t>
    </r>
    <r>
      <rPr>
        <rFont val="Verdana"/>
        <b val="0"/>
        <color rgb="FF000000"/>
        <sz val="8.0"/>
      </rPr>
      <t>[Main Goal]</t>
    </r>
  </si>
  <si>
    <t xml:space="preserve">TOTAL: </t>
  </si>
  <si>
    <r>
      <rPr>
        <rFont val="Verdana"/>
        <b/>
        <color rgb="FF000000"/>
      </rPr>
      <t xml:space="preserve">June
</t>
    </r>
    <r>
      <rPr>
        <rFont val="Verdana"/>
        <b val="0"/>
        <color rgb="FF000000"/>
        <sz val="8.0"/>
      </rPr>
      <t>[Main Goal]</t>
    </r>
  </si>
  <si>
    <t>Affiliate Campaigns</t>
  </si>
  <si>
    <t>Content Approval Date</t>
  </si>
  <si>
    <t>Link to Modified Content for Ads</t>
  </si>
  <si>
    <t>Date Usage Starts</t>
  </si>
  <si>
    <t>Date Usage Ends</t>
  </si>
  <si>
    <t>Link to Usage agreement</t>
  </si>
  <si>
    <t>Impressions</t>
  </si>
  <si>
    <t>Comments</t>
  </si>
  <si>
    <t>Likes</t>
  </si>
  <si>
    <r>
      <rPr>
        <rFont val="Verdana"/>
        <b/>
        <color rgb="FF000000"/>
      </rPr>
      <t xml:space="preserve">July
</t>
    </r>
    <r>
      <rPr>
        <rFont val="Verdana"/>
        <b val="0"/>
        <color rgb="FF000000"/>
        <sz val="8.0"/>
      </rPr>
      <t>[Main Goal]</t>
    </r>
  </si>
  <si>
    <t>Shares</t>
  </si>
  <si>
    <t>Saves</t>
  </si>
  <si>
    <t>Number of Sales</t>
  </si>
  <si>
    <t>Amount of Sales</t>
  </si>
  <si>
    <t>https://www.instagram.com/p/DE_SumLv5Po/</t>
  </si>
  <si>
    <r>
      <rPr>
        <rFont val="Verdana"/>
        <b/>
        <color rgb="FF000000"/>
      </rPr>
      <t>August</t>
    </r>
    <r>
      <rPr>
        <rFont val="Verdana"/>
        <b val="0"/>
        <color rgb="FF000000"/>
        <sz val="8.0"/>
      </rPr>
      <t xml:space="preserve"> 
[Main Goal]</t>
    </r>
  </si>
  <si>
    <t>XX</t>
  </si>
  <si>
    <t>241K</t>
  </si>
  <si>
    <t>17.3M</t>
  </si>
  <si>
    <t>7K</t>
  </si>
  <si>
    <t>15K</t>
  </si>
  <si>
    <t>https://www.instagram.com/p/DGfTN60RpjN/</t>
  </si>
  <si>
    <r>
      <rPr>
        <rFont val="Verdana"/>
        <b/>
        <color rgb="FF000000"/>
      </rPr>
      <t xml:space="preserve">September
</t>
    </r>
    <r>
      <rPr>
        <rFont val="Verdana"/>
        <b val="0"/>
        <color rgb="FF000000"/>
        <sz val="8.0"/>
      </rPr>
      <t>[Main Goal]</t>
    </r>
  </si>
  <si>
    <t>47.7K</t>
  </si>
  <si>
    <t>4.2M</t>
  </si>
  <si>
    <t>19K</t>
  </si>
  <si>
    <t>12K</t>
  </si>
  <si>
    <t>https://www.tiktok.com/@therock/video/7474681315955150126</t>
  </si>
  <si>
    <t>https://www.tiktok.com/@therock/video/7474681315955150127</t>
  </si>
  <si>
    <t>168.8K</t>
  </si>
  <si>
    <t>3.21M</t>
  </si>
  <si>
    <t>3.1M</t>
  </si>
  <si>
    <t>1.6M</t>
  </si>
  <si>
    <r>
      <rPr>
        <rFont val="Verdana"/>
        <b/>
        <color rgb="FF000000"/>
      </rPr>
      <t xml:space="preserve">October
</t>
    </r>
    <r>
      <rPr>
        <rFont val="Verdana"/>
        <b val="0"/>
        <color rgb="FF000000"/>
        <sz val="8.0"/>
      </rPr>
      <t>[Main Goal]</t>
    </r>
  </si>
  <si>
    <r>
      <rPr>
        <rFont val="Verdana"/>
        <b/>
        <color rgb="FF000000"/>
      </rPr>
      <t xml:space="preserve">November
</t>
    </r>
    <r>
      <rPr>
        <rFont val="Verdana"/>
        <b val="0"/>
        <color rgb="FF000000"/>
        <sz val="8.0"/>
      </rPr>
      <t>[Main Goal]</t>
    </r>
  </si>
  <si>
    <r>
      <rPr>
        <rFont val="Verdana"/>
        <b/>
        <color rgb="FF000000"/>
      </rPr>
      <t xml:space="preserve">December
</t>
    </r>
    <r>
      <rPr>
        <rFont val="Verdana"/>
        <b val="0"/>
        <color rgb="FF000000"/>
        <sz val="8.0"/>
      </rPr>
      <t>[Main Goal]</t>
    </r>
  </si>
  <si>
    <t>Address</t>
  </si>
  <si>
    <t>Link to Contract/ Agreement</t>
  </si>
  <si>
    <t>Products chosen</t>
  </si>
  <si>
    <t>Tracking Number/ Link</t>
  </si>
  <si>
    <t>Order Total</t>
  </si>
  <si>
    <t>Post Date</t>
  </si>
  <si>
    <t>Number of Code Redeems</t>
  </si>
  <si>
    <t>Sale value</t>
  </si>
  <si>
    <t>YTD Total:</t>
  </si>
  <si>
    <t>123 Johnson Street, 12378 Hollywood, California</t>
  </si>
  <si>
    <t>Agreed</t>
  </si>
  <si>
    <t>IG, TikTok</t>
  </si>
  <si>
    <t>SKU</t>
  </si>
  <si>
    <t>##</t>
  </si>
  <si>
    <t>Ordered</t>
  </si>
  <si>
    <t>Processing</t>
  </si>
  <si>
    <t>Shipped</t>
  </si>
  <si>
    <t>Affiliate Discount</t>
  </si>
  <si>
    <t>Affiliate Code</t>
  </si>
  <si>
    <t>Affiliate Payout Percent</t>
  </si>
  <si>
    <t>Affiliate Payout</t>
  </si>
  <si>
    <t>THEROCK15</t>
  </si>
  <si>
    <t>August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</si>
</sst>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mmm&quot;-&quot;d"/>
    <numFmt numFmtId="166" formatCode="[$€]#,##0"/>
    <numFmt numFmtId="167" formatCode="mmmm-d"/>
  </numFmts>
  <fonts count="16">
    <font>
      <sz val="10.0"/>
      <color rgb="FF000000"/>
      <name val="Arial"/>
      <scheme val="minor"/>
    </font>
    <font>
      <color theme="1"/>
      <name val="Verdana"/>
    </font>
    <font>
      <b/>
      <sz val="11.0"/>
      <color theme="1"/>
      <name val="Verdana"/>
    </font>
    <font>
      <b/>
      <color theme="1"/>
      <name val="Arial"/>
    </font>
    <font/>
    <font>
      <b/>
      <sz val="9.0"/>
      <color rgb="FF000000"/>
      <name val="Verdana"/>
    </font>
    <font>
      <color theme="1"/>
      <name val="Arial"/>
    </font>
    <font>
      <b/>
      <sz val="11.0"/>
      <color rgb="FF000000"/>
      <name val="Verdana"/>
    </font>
    <font>
      <b/>
      <color rgb="FF000000"/>
      <name val="Verdana"/>
    </font>
    <font>
      <color rgb="FF000000"/>
      <name val="Verdana"/>
    </font>
    <font>
      <sz val="9.0"/>
      <color theme="1"/>
      <name val="Verdana"/>
    </font>
    <font>
      <b/>
      <sz val="9.0"/>
      <color theme="1"/>
      <name val="Verdana"/>
    </font>
    <font>
      <color rgb="FF000000"/>
      <name val="Arial"/>
    </font>
    <font>
      <u/>
      <sz val="9.0"/>
      <color rgb="FF0000FF"/>
      <name val="Verdana"/>
    </font>
    <font>
      <b/>
      <color theme="1"/>
      <name val="Verdana"/>
    </font>
    <font>
      <color theme="1"/>
      <name val="Arial"/>
      <scheme val="minor"/>
    </font>
  </fonts>
  <fills count="5">
    <fill>
      <patternFill patternType="none"/>
    </fill>
    <fill>
      <patternFill patternType="lightGray"/>
    </fill>
    <fill>
      <patternFill patternType="solid">
        <fgColor rgb="FFEAD1DC"/>
        <bgColor rgb="FFEAD1DC"/>
      </patternFill>
    </fill>
    <fill>
      <patternFill patternType="solid">
        <fgColor rgb="FFD5A6BD"/>
        <bgColor rgb="FFD5A6BD"/>
      </patternFill>
    </fill>
    <fill>
      <patternFill patternType="solid">
        <fgColor rgb="FFF3F3F3"/>
        <bgColor rgb="FFF3F3F3"/>
      </patternFill>
    </fill>
  </fills>
  <borders count="16">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horizontal="center" vertical="center"/>
    </xf>
    <xf borderId="1" fillId="0" fontId="3" numFmtId="0" xfId="0" applyAlignment="1" applyBorder="1" applyFont="1">
      <alignment horizontal="center" shrinkToFit="0" vertical="center" wrapText="1"/>
    </xf>
    <xf borderId="0" fillId="0" fontId="2" numFmtId="0" xfId="0" applyAlignment="1" applyFont="1">
      <alignment horizontal="center" shrinkToFit="0" vertical="center" wrapText="1"/>
    </xf>
    <xf borderId="2" fillId="0" fontId="3" numFmtId="0" xfId="0" applyAlignment="1" applyBorder="1" applyFont="1">
      <alignment horizontal="center" vertical="center"/>
    </xf>
    <xf borderId="3" fillId="0" fontId="4" numFmtId="0" xfId="0" applyBorder="1" applyFont="1"/>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0" fillId="2" fontId="5" numFmtId="0" xfId="0" applyAlignment="1" applyFill="1" applyFont="1">
      <alignment horizontal="center" shrinkToFit="0" vertical="center" wrapText="1"/>
    </xf>
    <xf borderId="1" fillId="0" fontId="6" numFmtId="0" xfId="0" applyAlignment="1" applyBorder="1" applyFont="1">
      <alignment shrinkToFit="0" vertical="center" wrapText="1"/>
    </xf>
    <xf borderId="0" fillId="2" fontId="7" numFmtId="0" xfId="0" applyAlignment="1" applyFill="1" applyFont="1">
      <alignment horizontal="center" shrinkToFit="0" vertical="center" wrapText="1"/>
    </xf>
    <xf borderId="2" fillId="0" fontId="6" numFmtId="0" xfId="0" applyAlignment="1" applyBorder="1" applyFont="1">
      <alignment shrinkToFit="0" vertical="center" wrapText="1"/>
    </xf>
    <xf borderId="9" fillId="0" fontId="6" numFmtId="0" xfId="0" applyAlignment="1" applyBorder="1" applyFont="1">
      <alignment shrinkToFit="0" vertical="center" wrapText="1"/>
    </xf>
    <xf borderId="0" fillId="2" fontId="5" numFmtId="3" xfId="0" applyAlignment="1" applyFill="1" applyFont="1" applyNumberFormat="1">
      <alignment horizontal="center" shrinkToFit="0" vertical="center" wrapText="1"/>
    </xf>
    <xf borderId="10" fillId="0" fontId="6" numFmtId="0" xfId="0" applyAlignment="1" applyBorder="1" applyFont="1">
      <alignment shrinkToFit="0" vertical="center" wrapText="1"/>
    </xf>
    <xf borderId="11" fillId="0" fontId="4" numFmtId="0" xfId="0" applyBorder="1" applyFont="1"/>
    <xf borderId="0" fillId="2" fontId="5" numFmtId="10" xfId="0" applyAlignment="1" applyFill="1" applyFont="1" applyNumberFormat="1">
      <alignment horizontal="center" shrinkToFit="0" vertical="center" wrapText="1"/>
    </xf>
    <xf borderId="12" fillId="0" fontId="4" numFmtId="0" xfId="0" applyBorder="1" applyFont="1"/>
    <xf borderId="0" fillId="2" fontId="7" numFmtId="164" xfId="0" applyAlignment="1" applyFill="1" applyFont="1" applyNumberFormat="1">
      <alignment horizontal="center" shrinkToFit="0" vertical="center" wrapText="1"/>
    </xf>
    <xf borderId="0" fillId="0" fontId="2" numFmtId="0" xfId="0" applyAlignment="1" applyFont="1">
      <alignment horizontal="left" shrinkToFit="0" vertical="center" wrapText="1"/>
    </xf>
    <xf borderId="0" fillId="2" fontId="5" numFmtId="164" xfId="0" applyAlignment="1" applyFill="1" applyFont="1" applyNumberFormat="1">
      <alignment horizontal="center" shrinkToFit="0" vertical="center" wrapText="1"/>
    </xf>
    <xf borderId="0" fillId="2" fontId="7" numFmtId="3" xfId="0" applyAlignment="1" applyFill="1" applyFont="1" applyNumberFormat="1">
      <alignment horizontal="center" shrinkToFit="0" vertical="center" wrapText="1"/>
    </xf>
    <xf borderId="0" fillId="2" fontId="5" numFmtId="165" xfId="0" applyAlignment="1" applyFill="1" applyFont="1" applyNumberFormat="1">
      <alignment horizontal="center" shrinkToFit="0" vertical="center" wrapText="1"/>
    </xf>
    <xf borderId="13" fillId="0" fontId="4" numFmtId="0" xfId="0" applyBorder="1" applyFont="1"/>
    <xf borderId="0" fillId="0" fontId="1" numFmtId="0" xfId="0" applyAlignment="1" applyFont="1">
      <alignment horizontal="center" vertical="center"/>
    </xf>
    <xf borderId="14" fillId="0" fontId="4" numFmtId="0" xfId="0" applyBorder="1" applyFont="1"/>
    <xf borderId="15" fillId="0" fontId="4" numFmtId="0" xfId="0" applyBorder="1" applyFont="1"/>
    <xf borderId="0" fillId="0" fontId="6" numFmtId="0" xfId="0" applyAlignment="1" applyFont="1">
      <alignment shrinkToFit="0" vertical="center" wrapText="1"/>
    </xf>
    <xf borderId="0" fillId="3" fontId="8" numFmtId="0" xfId="0" applyAlignment="1" applyFill="1" applyFont="1">
      <alignment horizontal="center" vertical="center"/>
    </xf>
    <xf borderId="13" fillId="0" fontId="6" numFmtId="0" xfId="0" applyAlignment="1" applyBorder="1" applyFont="1">
      <alignment shrinkToFit="0" vertical="center" wrapText="1"/>
    </xf>
    <xf borderId="0" fillId="0" fontId="1" numFmtId="164" xfId="0" applyAlignment="1" applyFont="1" applyNumberFormat="1">
      <alignment horizontal="center" vertical="center"/>
    </xf>
    <xf borderId="0" fillId="3" fontId="8" numFmtId="3" xfId="0" applyAlignment="1" applyFill="1" applyFont="1" applyNumberFormat="1">
      <alignment horizontal="center" vertical="center"/>
    </xf>
    <xf borderId="0" fillId="0" fontId="6" numFmtId="0" xfId="0" applyAlignment="1" applyFont="1">
      <alignment vertical="center"/>
    </xf>
    <xf borderId="0" fillId="2" fontId="9" numFmtId="0" xfId="0" applyAlignment="1" applyFill="1" applyFont="1">
      <alignment vertical="center"/>
    </xf>
    <xf borderId="0" fillId="2" fontId="9" numFmtId="0" xfId="0" applyAlignment="1" applyFill="1" applyFont="1">
      <alignment horizontal="center" vertical="center"/>
    </xf>
    <xf borderId="0" fillId="3" fontId="8" numFmtId="10" xfId="0" applyAlignment="1" applyFill="1" applyFont="1" applyNumberFormat="1">
      <alignment horizontal="center" vertical="center"/>
    </xf>
    <xf borderId="0" fillId="2" fontId="9" numFmtId="165" xfId="0" applyAlignment="1" applyFill="1" applyFont="1" applyNumberFormat="1">
      <alignment horizontal="center" vertical="center"/>
    </xf>
    <xf borderId="0" fillId="2" fontId="9" numFmtId="3" xfId="0" applyAlignment="1" applyFill="1" applyFont="1" applyNumberFormat="1">
      <alignment horizontal="center" vertical="center"/>
    </xf>
    <xf borderId="0" fillId="3" fontId="8" numFmtId="164" xfId="0" applyAlignment="1" applyFill="1" applyFont="1" applyNumberFormat="1">
      <alignment horizontal="center" vertical="center"/>
    </xf>
    <xf borderId="0" fillId="2" fontId="9" numFmtId="10" xfId="0" applyAlignment="1" applyFill="1" applyFont="1" applyNumberFormat="1">
      <alignment horizontal="center" vertical="center"/>
    </xf>
    <xf borderId="0" fillId="2" fontId="9" numFmtId="164" xfId="0" applyAlignment="1" applyFill="1" applyFont="1" applyNumberFormat="1">
      <alignment horizontal="center" vertical="center"/>
    </xf>
    <xf borderId="0" fillId="0" fontId="1" numFmtId="3" xfId="0" applyAlignment="1" applyFont="1" applyNumberFormat="1">
      <alignment horizontal="center" vertical="center"/>
    </xf>
    <xf borderId="0" fillId="3" fontId="8" numFmtId="165" xfId="0" applyAlignment="1" applyFill="1" applyFont="1" applyNumberFormat="1">
      <alignment horizontal="center" vertical="center"/>
    </xf>
    <xf borderId="0" fillId="3" fontId="8" numFmtId="0" xfId="0" applyAlignment="1" applyFill="1" applyFont="1">
      <alignment horizontal="left" vertical="center"/>
    </xf>
    <xf borderId="0" fillId="0" fontId="10" numFmtId="0" xfId="0" applyAlignment="1" applyFont="1">
      <alignment vertical="center"/>
    </xf>
    <xf borderId="0" fillId="0" fontId="10" numFmtId="0" xfId="0" applyAlignment="1" applyFont="1">
      <alignment horizontal="center" vertical="center"/>
    </xf>
    <xf borderId="0" fillId="0" fontId="1" numFmtId="10" xfId="0" applyAlignment="1" applyFont="1" applyNumberFormat="1">
      <alignment horizontal="center" vertical="center"/>
    </xf>
    <xf borderId="0" fillId="0" fontId="10" numFmtId="165" xfId="0" applyAlignment="1" applyFont="1" applyNumberFormat="1">
      <alignment horizontal="center" vertical="center"/>
    </xf>
    <xf borderId="0" fillId="0" fontId="10" numFmtId="3" xfId="0" applyAlignment="1" applyFont="1" applyNumberFormat="1">
      <alignment horizontal="center" vertical="center"/>
    </xf>
    <xf borderId="0" fillId="3" fontId="9" numFmtId="0" xfId="0" applyAlignment="1" applyFill="1" applyFont="1">
      <alignment vertical="center"/>
    </xf>
    <xf borderId="0" fillId="0" fontId="10" numFmtId="10" xfId="0" applyAlignment="1" applyFont="1" applyNumberFormat="1">
      <alignment horizontal="center" vertical="center"/>
    </xf>
    <xf borderId="0" fillId="0" fontId="10" numFmtId="164" xfId="0" applyAlignment="1" applyFont="1" applyNumberFormat="1">
      <alignment horizontal="center" vertical="center"/>
    </xf>
    <xf borderId="0" fillId="0" fontId="9" numFmtId="0" xfId="0" applyAlignment="1" applyFont="1">
      <alignment vertical="center"/>
    </xf>
    <xf borderId="0" fillId="0" fontId="8" numFmtId="0" xfId="0" applyAlignment="1" applyFont="1">
      <alignment horizontal="center" vertical="center"/>
    </xf>
    <xf borderId="0" fillId="0" fontId="8" numFmtId="3" xfId="0" applyAlignment="1" applyFont="1" applyNumberFormat="1">
      <alignment horizontal="center" vertical="center"/>
    </xf>
    <xf borderId="0" fillId="0" fontId="8" numFmtId="10" xfId="0" applyAlignment="1" applyFont="1" applyNumberFormat="1">
      <alignment horizontal="center" vertical="center"/>
    </xf>
    <xf borderId="0" fillId="0" fontId="10" numFmtId="0" xfId="0" applyAlignment="1" applyFont="1">
      <alignment horizontal="left" shrinkToFit="0" vertical="center" wrapText="0"/>
    </xf>
    <xf borderId="0" fillId="0" fontId="8" numFmtId="164" xfId="0" applyAlignment="1" applyFont="1" applyNumberFormat="1">
      <alignment horizontal="center" vertical="center"/>
    </xf>
    <xf borderId="0" fillId="4" fontId="11" numFmtId="164" xfId="0" applyAlignment="1" applyFill="1" applyFont="1" applyNumberFormat="1">
      <alignment horizontal="center" vertical="center"/>
    </xf>
    <xf borderId="0" fillId="0" fontId="10" numFmtId="0" xfId="0" applyAlignment="1" applyFont="1">
      <alignment horizontal="center" shrinkToFit="0" vertical="center" wrapText="0"/>
    </xf>
    <xf borderId="0" fillId="4" fontId="11" numFmtId="0" xfId="0" applyAlignment="1" applyFill="1" applyFont="1">
      <alignment horizontal="center" vertical="center"/>
    </xf>
    <xf borderId="0" fillId="0" fontId="11" numFmtId="164" xfId="0" applyAlignment="1" applyFont="1" applyNumberFormat="1">
      <alignment horizontal="center" vertical="center"/>
    </xf>
    <xf borderId="0" fillId="0" fontId="11" numFmtId="0" xfId="0" applyAlignment="1" applyFont="1">
      <alignment horizontal="center" vertical="center"/>
    </xf>
    <xf borderId="0" fillId="0" fontId="1" numFmtId="164" xfId="0" applyAlignment="1" applyFont="1" applyNumberFormat="1">
      <alignment vertical="center"/>
    </xf>
    <xf borderId="0" fillId="0" fontId="1" numFmtId="3" xfId="0" applyAlignment="1" applyFont="1" applyNumberFormat="1">
      <alignment vertical="center"/>
    </xf>
    <xf borderId="0" fillId="0" fontId="2" numFmtId="0" xfId="0" applyAlignment="1" applyFont="1">
      <alignment vertical="center"/>
    </xf>
    <xf borderId="0" fillId="2" fontId="7" numFmtId="0" xfId="0" applyAlignment="1" applyFill="1" applyFont="1">
      <alignment horizontal="center" vertical="center"/>
    </xf>
    <xf borderId="0" fillId="2" fontId="7" numFmtId="164" xfId="0" applyAlignment="1" applyFill="1" applyFont="1" applyNumberFormat="1">
      <alignment horizontal="center" vertical="center"/>
    </xf>
    <xf borderId="0" fillId="0" fontId="12" numFmtId="0" xfId="0" applyFont="1"/>
    <xf borderId="0" fillId="0" fontId="8" numFmtId="0" xfId="0" applyAlignment="1" applyFont="1">
      <alignment horizontal="center"/>
    </xf>
    <xf borderId="0" fillId="0" fontId="12" numFmtId="3" xfId="0" applyAlignment="1" applyFont="1" applyNumberFormat="1">
      <alignment horizontal="center"/>
    </xf>
    <xf borderId="0" fillId="0" fontId="12" numFmtId="10" xfId="0" applyAlignment="1" applyFont="1" applyNumberFormat="1">
      <alignment horizontal="center"/>
    </xf>
    <xf borderId="0" fillId="0" fontId="12" numFmtId="164" xfId="0" applyAlignment="1" applyFont="1" applyNumberFormat="1">
      <alignment horizontal="center"/>
    </xf>
    <xf borderId="0" fillId="0" fontId="12" numFmtId="0" xfId="0" applyAlignment="1" applyFont="1">
      <alignment horizontal="center"/>
    </xf>
    <xf borderId="0" fillId="2" fontId="7" numFmtId="3" xfId="0" applyAlignment="1" applyFill="1" applyFont="1" applyNumberFormat="1">
      <alignment horizontal="center" vertical="center"/>
    </xf>
    <xf borderId="0" fillId="2" fontId="5" numFmtId="166" xfId="0" applyAlignment="1" applyFill="1" applyFont="1" applyNumberFormat="1">
      <alignment horizontal="center" shrinkToFit="0" vertical="center" wrapText="1"/>
    </xf>
    <xf borderId="0" fillId="0" fontId="1" numFmtId="165" xfId="0" applyAlignment="1" applyFont="1" applyNumberFormat="1">
      <alignment horizontal="center" vertical="center"/>
    </xf>
    <xf borderId="0" fillId="0" fontId="13" numFmtId="0" xfId="0" applyAlignment="1" applyFont="1">
      <alignment horizontal="left" shrinkToFit="0" vertical="center" wrapText="0"/>
    </xf>
    <xf borderId="0" fillId="0" fontId="10" numFmtId="167" xfId="0" applyAlignment="1" applyFont="1" applyNumberFormat="1">
      <alignment horizontal="left" shrinkToFit="0" vertical="center" wrapText="0"/>
    </xf>
    <xf borderId="0" fillId="0" fontId="10" numFmtId="166" xfId="0" applyAlignment="1" applyFont="1" applyNumberFormat="1">
      <alignment horizontal="center" vertical="center"/>
    </xf>
    <xf borderId="0" fillId="4" fontId="11" numFmtId="10" xfId="0" applyAlignment="1" applyFill="1" applyFont="1" applyNumberFormat="1">
      <alignment horizontal="center" vertical="center"/>
    </xf>
    <xf borderId="0" fillId="3" fontId="8" numFmtId="0" xfId="0" applyAlignment="1" applyFill="1" applyFont="1">
      <alignment horizontal="center"/>
    </xf>
    <xf borderId="0" fillId="3" fontId="12" numFmtId="0" xfId="0" applyAlignment="1" applyFill="1" applyFont="1">
      <alignment horizontal="center"/>
    </xf>
    <xf borderId="0" fillId="3" fontId="12" numFmtId="3" xfId="0" applyAlignment="1" applyFill="1" applyFont="1" applyNumberFormat="1">
      <alignment horizontal="center"/>
    </xf>
    <xf borderId="0" fillId="3" fontId="12" numFmtId="10" xfId="0" applyAlignment="1" applyFill="1" applyFont="1" applyNumberFormat="1">
      <alignment horizontal="center"/>
    </xf>
    <xf borderId="0" fillId="3" fontId="12" numFmtId="164" xfId="0" applyAlignment="1" applyFill="1" applyFont="1" applyNumberFormat="1">
      <alignment horizontal="center"/>
    </xf>
    <xf borderId="0" fillId="3" fontId="12" numFmtId="165" xfId="0" applyAlignment="1" applyFill="1" applyFont="1" applyNumberFormat="1">
      <alignment horizontal="center"/>
    </xf>
    <xf borderId="0" fillId="3" fontId="12" numFmtId="0" xfId="0" applyAlignment="1" applyFill="1" applyFont="1">
      <alignment horizontal="left"/>
    </xf>
    <xf borderId="0" fillId="3" fontId="9" numFmtId="0" xfId="0" applyAlignment="1" applyFill="1" applyFont="1">
      <alignment horizontal="center"/>
    </xf>
    <xf borderId="0" fillId="3" fontId="9" numFmtId="164" xfId="0" applyAlignment="1" applyFill="1" applyFont="1" applyNumberFormat="1">
      <alignment horizontal="center"/>
    </xf>
    <xf borderId="0" fillId="3" fontId="12" numFmtId="0" xfId="0" applyFill="1" applyFont="1"/>
    <xf borderId="0" fillId="0" fontId="1" numFmtId="0" xfId="0" applyAlignment="1" applyFont="1">
      <alignment horizontal="left" shrinkToFit="0" vertical="center" wrapText="0"/>
    </xf>
    <xf borderId="0" fillId="0" fontId="14" numFmtId="164" xfId="0" applyAlignment="1" applyFont="1" applyNumberFormat="1">
      <alignment horizontal="center" vertical="center"/>
    </xf>
    <xf borderId="0" fillId="0" fontId="14" numFmtId="0" xfId="0" applyAlignment="1" applyFont="1">
      <alignment horizontal="center" vertical="center"/>
    </xf>
    <xf borderId="0" fillId="0" fontId="1" numFmtId="0" xfId="0" applyAlignment="1" applyFont="1">
      <alignment horizontal="center" shrinkToFit="0" vertical="center" wrapText="0"/>
    </xf>
    <xf borderId="0" fillId="0" fontId="11" numFmtId="10" xfId="0" applyAlignment="1" applyFont="1" applyNumberFormat="1">
      <alignment horizontal="center" vertical="center"/>
    </xf>
    <xf borderId="0" fillId="3" fontId="12" numFmtId="166" xfId="0" applyAlignment="1" applyFill="1" applyFont="1" applyNumberFormat="1">
      <alignment horizontal="center"/>
    </xf>
    <xf borderId="0" fillId="3" fontId="9" numFmtId="10" xfId="0" applyAlignment="1" applyFill="1" applyFont="1" applyNumberFormat="1">
      <alignment horizontal="center"/>
    </xf>
    <xf borderId="0" fillId="0" fontId="1" numFmtId="166" xfId="0" applyAlignment="1" applyFont="1" applyNumberFormat="1">
      <alignment horizontal="center" vertical="center"/>
    </xf>
    <xf borderId="0" fillId="0" fontId="14" numFmtId="10" xfId="0" applyAlignment="1" applyFont="1" applyNumberFormat="1">
      <alignment horizontal="center" vertical="center"/>
    </xf>
    <xf borderId="0" fillId="4" fontId="14" numFmtId="164" xfId="0" applyAlignment="1" applyFill="1" applyFont="1" applyNumberFormat="1">
      <alignment horizontal="center" vertical="center"/>
    </xf>
    <xf borderId="0" fillId="4" fontId="14" numFmtId="0" xfId="0" applyAlignment="1" applyFill="1" applyFont="1">
      <alignment horizontal="center" vertical="center"/>
    </xf>
    <xf borderId="0" fillId="0" fontId="10" numFmtId="0" xfId="0" applyAlignment="1" applyFont="1">
      <alignment horizontal="center" shrinkToFit="0" vertical="center" wrapText="1"/>
    </xf>
    <xf borderId="0" fillId="2" fontId="11" numFmtId="0" xfId="0" applyAlignment="1" applyFill="1" applyFont="1">
      <alignment horizontal="center" shrinkToFit="0" wrapText="1"/>
    </xf>
    <xf borderId="0" fillId="2" fontId="6" numFmtId="0" xfId="0" applyFill="1" applyFont="1"/>
    <xf borderId="0" fillId="2" fontId="6" numFmtId="3" xfId="0" applyFill="1" applyFont="1" applyNumberFormat="1"/>
    <xf borderId="0" fillId="2" fontId="6" numFmtId="10" xfId="0" applyFill="1" applyFont="1" applyNumberFormat="1"/>
    <xf borderId="0" fillId="2" fontId="6" numFmtId="165" xfId="0" applyFill="1" applyFont="1" applyNumberFormat="1"/>
    <xf borderId="0" fillId="2" fontId="6" numFmtId="164" xfId="0" applyFill="1" applyFont="1" applyNumberFormat="1"/>
    <xf borderId="0" fillId="2" fontId="11" numFmtId="164" xfId="0" applyAlignment="1" applyFill="1" applyFont="1" applyNumberFormat="1">
      <alignment horizontal="center" shrinkToFit="0" wrapText="1"/>
    </xf>
    <xf borderId="0" fillId="2" fontId="11" numFmtId="3" xfId="0" applyAlignment="1" applyFill="1" applyFont="1" applyNumberFormat="1">
      <alignment horizontal="center" shrinkToFit="0" wrapText="1"/>
    </xf>
    <xf borderId="0" fillId="2" fontId="11" numFmtId="10" xfId="0" applyAlignment="1" applyFill="1" applyFont="1" applyNumberFormat="1">
      <alignment horizontal="center" shrinkToFit="0" wrapText="1"/>
    </xf>
    <xf borderId="0" fillId="4" fontId="14" numFmtId="10" xfId="0" applyAlignment="1" applyFill="1" applyFont="1" applyNumberFormat="1">
      <alignment horizontal="center" vertical="center"/>
    </xf>
    <xf borderId="0" fillId="3" fontId="5" numFmtId="0" xfId="0" applyAlignment="1" applyFill="1" applyFont="1">
      <alignment horizontal="center" shrinkToFit="0" vertical="center" wrapText="1"/>
    </xf>
    <xf borderId="0" fillId="3" fontId="5" numFmtId="3" xfId="0" applyAlignment="1" applyFill="1" applyFont="1" applyNumberFormat="1">
      <alignment horizontal="center" shrinkToFit="0" vertical="center" wrapText="1"/>
    </xf>
    <xf borderId="0" fillId="3" fontId="5" numFmtId="10" xfId="0" applyAlignment="1" applyFill="1" applyFont="1" applyNumberFormat="1">
      <alignment horizontal="center" shrinkToFit="0" vertical="center" wrapText="1"/>
    </xf>
    <xf borderId="0" fillId="0" fontId="12" numFmtId="0" xfId="0" applyAlignment="1" applyFont="1">
      <alignment horizontal="left"/>
    </xf>
    <xf borderId="0" fillId="3" fontId="5" numFmtId="164" xfId="0" applyAlignment="1" applyFill="1" applyFont="1" applyNumberFormat="1">
      <alignment horizontal="center" shrinkToFit="0" vertical="center" wrapText="1"/>
    </xf>
    <xf borderId="0" fillId="0" fontId="10" numFmtId="9" xfId="0" applyAlignment="1" applyFont="1" applyNumberFormat="1">
      <alignment horizontal="center" vertical="center"/>
    </xf>
    <xf borderId="0" fillId="0"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instagram.com/p/DE_SumLv5Po/" TargetMode="External"/><Relationship Id="rId2" Type="http://schemas.openxmlformats.org/officeDocument/2006/relationships/hyperlink" Target="https://www.instagram.com/p/DE_SumLv5Po/" TargetMode="External"/><Relationship Id="rId3" Type="http://schemas.openxmlformats.org/officeDocument/2006/relationships/hyperlink" Target="https://www.instagram.com/p/DGfTN60RpjN/" TargetMode="External"/><Relationship Id="rId4" Type="http://schemas.openxmlformats.org/officeDocument/2006/relationships/hyperlink" Target="https://www.instagram.com/p/DGfTN60RpjN/" TargetMode="External"/><Relationship Id="rId5" Type="http://schemas.openxmlformats.org/officeDocument/2006/relationships/hyperlink" Target="https://www.tiktok.com/@therock/video/7474681315955150126"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63"/>
    <col customWidth="1" min="2" max="6" width="12.63"/>
  </cols>
  <sheetData>
    <row r="1" ht="15.75" customHeight="1">
      <c r="A1" s="3" t="s">
        <v>0</v>
      </c>
      <c r="B1" s="5" t="s">
        <v>3</v>
      </c>
      <c r="C1" s="6"/>
      <c r="D1" s="6"/>
      <c r="E1" s="6"/>
      <c r="F1" s="7"/>
    </row>
    <row r="2" ht="15.75" customHeight="1">
      <c r="A2" s="8"/>
      <c r="B2" s="9"/>
      <c r="C2" s="10"/>
      <c r="D2" s="10"/>
      <c r="E2" s="10"/>
      <c r="F2" s="11"/>
    </row>
    <row r="3" ht="15.75" customHeight="1">
      <c r="A3" s="13" t="s">
        <v>6</v>
      </c>
      <c r="B3" s="15" t="s">
        <v>7</v>
      </c>
      <c r="C3" s="6"/>
      <c r="D3" s="6"/>
      <c r="E3" s="6"/>
      <c r="F3" s="7"/>
    </row>
    <row r="4" ht="41.25" customHeight="1">
      <c r="A4" s="8"/>
      <c r="B4" s="9"/>
      <c r="C4" s="10"/>
      <c r="D4" s="10"/>
      <c r="E4" s="10"/>
      <c r="F4" s="11"/>
    </row>
    <row r="5" ht="15.75" customHeight="1">
      <c r="A5" s="16" t="s">
        <v>16</v>
      </c>
      <c r="B5" s="18" t="s">
        <v>18</v>
      </c>
      <c r="C5" s="19"/>
      <c r="D5" s="19"/>
      <c r="E5" s="19"/>
      <c r="F5" s="21"/>
    </row>
    <row r="6" ht="15.75" customHeight="1">
      <c r="A6" s="16" t="s">
        <v>22</v>
      </c>
      <c r="B6" s="15" t="s">
        <v>24</v>
      </c>
      <c r="C6" s="6"/>
      <c r="D6" s="6"/>
      <c r="E6" s="6"/>
      <c r="F6" s="7"/>
    </row>
    <row r="7" ht="44.25" customHeight="1">
      <c r="A7" s="13" t="s">
        <v>26</v>
      </c>
      <c r="B7" s="9"/>
      <c r="C7" s="10"/>
      <c r="D7" s="10"/>
      <c r="E7" s="10"/>
      <c r="F7" s="11"/>
    </row>
    <row r="8" ht="71.25" customHeight="1">
      <c r="A8" s="8"/>
      <c r="B8" s="15" t="s">
        <v>32</v>
      </c>
      <c r="C8" s="6"/>
      <c r="D8" s="6"/>
      <c r="E8" s="6"/>
      <c r="F8" s="7"/>
    </row>
    <row r="9" ht="15.75" customHeight="1">
      <c r="A9" s="13" t="s">
        <v>37</v>
      </c>
      <c r="B9" s="27"/>
      <c r="F9" s="29"/>
    </row>
    <row r="10" ht="15.75" customHeight="1">
      <c r="A10" s="30"/>
      <c r="B10" s="27"/>
      <c r="F10" s="29"/>
    </row>
    <row r="11" ht="15.75" customHeight="1">
      <c r="A11" s="30"/>
      <c r="B11" s="27"/>
      <c r="F11" s="29"/>
    </row>
    <row r="12" ht="15.75" customHeight="1">
      <c r="A12" s="8"/>
      <c r="B12" s="9"/>
      <c r="C12" s="10"/>
      <c r="D12" s="10"/>
      <c r="E12" s="10"/>
      <c r="F12" s="11"/>
    </row>
    <row r="13" ht="15.75" customHeight="1">
      <c r="A13" s="31"/>
      <c r="B13" s="33" t="s">
        <v>41</v>
      </c>
      <c r="F13" s="29"/>
    </row>
    <row r="14" ht="15.75" customHeight="1">
      <c r="A14" s="31"/>
      <c r="B14" s="27"/>
      <c r="F14" s="29"/>
    </row>
    <row r="15" ht="15.75" customHeight="1">
      <c r="A15" s="31"/>
      <c r="B15" s="27"/>
      <c r="F15" s="29"/>
    </row>
    <row r="16" ht="15.75" customHeight="1">
      <c r="A16" s="31"/>
      <c r="B16" s="9"/>
      <c r="C16" s="10"/>
      <c r="D16" s="10"/>
      <c r="E16" s="10"/>
      <c r="F16" s="11"/>
    </row>
    <row r="17" ht="15.75" customHeight="1">
      <c r="A17" s="31"/>
      <c r="B17" s="15" t="s">
        <v>42</v>
      </c>
      <c r="C17" s="6"/>
      <c r="D17" s="6"/>
      <c r="E17" s="6"/>
      <c r="F17" s="7"/>
    </row>
    <row r="18" ht="15.75" customHeight="1">
      <c r="A18" s="31"/>
      <c r="B18" s="27"/>
      <c r="F18" s="29"/>
    </row>
    <row r="19" ht="15.75" customHeight="1">
      <c r="A19" s="31"/>
      <c r="B19" s="27"/>
      <c r="F19" s="29"/>
    </row>
    <row r="20" ht="15.75" customHeight="1">
      <c r="A20" s="31"/>
      <c r="B20" s="9"/>
      <c r="C20" s="10"/>
      <c r="D20" s="10"/>
      <c r="E20" s="10"/>
      <c r="F20" s="11"/>
    </row>
    <row r="21" ht="15.75" customHeight="1">
      <c r="A21" s="31"/>
      <c r="B21" s="36"/>
      <c r="C21" s="36"/>
      <c r="D21" s="36"/>
      <c r="E21" s="36"/>
      <c r="F21" s="36"/>
    </row>
    <row r="22" ht="15.75" customHeight="1">
      <c r="A22" s="31"/>
      <c r="B22" s="36"/>
      <c r="C22" s="36"/>
      <c r="D22" s="36"/>
      <c r="E22" s="36"/>
      <c r="F22" s="36"/>
    </row>
    <row r="23" ht="15.75" customHeight="1">
      <c r="A23" s="31"/>
      <c r="B23" s="36"/>
      <c r="C23" s="36"/>
      <c r="D23" s="36"/>
      <c r="E23" s="36"/>
      <c r="F23" s="36"/>
    </row>
    <row r="24" ht="15.75" customHeight="1">
      <c r="A24" s="31"/>
      <c r="B24" s="36"/>
      <c r="C24" s="36"/>
      <c r="D24" s="36"/>
      <c r="E24" s="36"/>
      <c r="F24" s="36"/>
    </row>
    <row r="25" ht="15.75" customHeight="1">
      <c r="A25" s="31"/>
      <c r="B25" s="36"/>
      <c r="C25" s="36"/>
      <c r="D25" s="36"/>
      <c r="E25" s="36"/>
      <c r="F25" s="36"/>
    </row>
    <row r="26" ht="15.75" customHeight="1">
      <c r="A26" s="31"/>
      <c r="B26" s="36"/>
      <c r="C26" s="36"/>
      <c r="D26" s="36"/>
      <c r="E26" s="36"/>
      <c r="F26" s="36"/>
    </row>
    <row r="27" ht="15.75" customHeight="1">
      <c r="A27" s="31"/>
      <c r="B27" s="36"/>
      <c r="C27" s="36"/>
      <c r="D27" s="36"/>
      <c r="E27" s="36"/>
      <c r="F27" s="36"/>
    </row>
    <row r="28" ht="15.75" customHeight="1">
      <c r="A28" s="31"/>
      <c r="B28" s="36"/>
      <c r="C28" s="36"/>
      <c r="D28" s="36"/>
      <c r="E28" s="36"/>
      <c r="F28" s="36"/>
    </row>
    <row r="29" ht="15.75" customHeight="1">
      <c r="A29" s="31"/>
      <c r="B29" s="36"/>
      <c r="C29" s="36"/>
      <c r="D29" s="36"/>
      <c r="E29" s="36"/>
      <c r="F29" s="36"/>
    </row>
    <row r="30" ht="15.75" customHeight="1">
      <c r="A30" s="31"/>
      <c r="B30" s="36"/>
      <c r="C30" s="36"/>
      <c r="D30" s="36"/>
      <c r="E30" s="36"/>
      <c r="F30" s="36"/>
    </row>
    <row r="31" ht="15.75" customHeight="1">
      <c r="A31" s="31"/>
      <c r="B31" s="36"/>
      <c r="C31" s="36"/>
      <c r="D31" s="36"/>
      <c r="E31" s="36"/>
      <c r="F31" s="36"/>
    </row>
    <row r="32" ht="15.75" customHeight="1">
      <c r="A32" s="31"/>
      <c r="B32" s="36"/>
      <c r="C32" s="36"/>
      <c r="D32" s="36"/>
      <c r="E32" s="36"/>
      <c r="F32" s="36"/>
    </row>
    <row r="33" ht="15.75" customHeight="1">
      <c r="A33" s="31"/>
      <c r="B33" s="36"/>
      <c r="C33" s="36"/>
      <c r="D33" s="36"/>
      <c r="E33" s="36"/>
      <c r="F33" s="36"/>
    </row>
    <row r="34" ht="15.75" customHeight="1">
      <c r="A34" s="31"/>
      <c r="B34" s="36"/>
      <c r="C34" s="36"/>
      <c r="D34" s="36"/>
      <c r="E34" s="36"/>
      <c r="F34" s="36"/>
    </row>
    <row r="35" ht="15.75" customHeight="1">
      <c r="A35" s="31"/>
      <c r="B35" s="36"/>
      <c r="C35" s="36"/>
      <c r="D35" s="36"/>
      <c r="E35" s="36"/>
      <c r="F35" s="36"/>
    </row>
    <row r="36" ht="15.75" customHeight="1">
      <c r="A36" s="31"/>
      <c r="B36" s="36"/>
      <c r="C36" s="36"/>
      <c r="D36" s="36"/>
      <c r="E36" s="36"/>
      <c r="F36" s="36"/>
    </row>
    <row r="37" ht="15.75" customHeight="1">
      <c r="A37" s="31"/>
      <c r="B37" s="36"/>
      <c r="C37" s="36"/>
      <c r="D37" s="36"/>
      <c r="E37" s="36"/>
      <c r="F37" s="36"/>
    </row>
    <row r="38" ht="15.75" customHeight="1">
      <c r="A38" s="31"/>
      <c r="B38" s="36"/>
      <c r="C38" s="36"/>
      <c r="D38" s="36"/>
      <c r="E38" s="36"/>
      <c r="F38" s="36"/>
    </row>
    <row r="39" ht="15.75" customHeight="1">
      <c r="A39" s="31"/>
      <c r="B39" s="36"/>
      <c r="C39" s="36"/>
      <c r="D39" s="36"/>
      <c r="E39" s="36"/>
      <c r="F39" s="36"/>
    </row>
    <row r="40" ht="15.75" customHeight="1">
      <c r="A40" s="31"/>
      <c r="B40" s="36"/>
      <c r="C40" s="36"/>
      <c r="D40" s="36"/>
      <c r="E40" s="36"/>
      <c r="F40" s="36"/>
    </row>
    <row r="41" ht="15.75" customHeight="1">
      <c r="A41" s="31"/>
      <c r="B41" s="36"/>
      <c r="C41" s="36"/>
      <c r="D41" s="36"/>
      <c r="E41" s="36"/>
      <c r="F41" s="36"/>
    </row>
    <row r="42" ht="15.75" customHeight="1">
      <c r="A42" s="31"/>
      <c r="B42" s="36"/>
      <c r="C42" s="36"/>
      <c r="D42" s="36"/>
      <c r="E42" s="36"/>
      <c r="F42" s="36"/>
    </row>
    <row r="43" ht="15.75" customHeight="1">
      <c r="A43" s="31"/>
      <c r="B43" s="36"/>
      <c r="C43" s="36"/>
      <c r="D43" s="36"/>
      <c r="E43" s="36"/>
      <c r="F43" s="36"/>
    </row>
    <row r="44" ht="15.75" customHeight="1">
      <c r="A44" s="31"/>
      <c r="B44" s="36"/>
      <c r="C44" s="36"/>
      <c r="D44" s="36"/>
      <c r="E44" s="36"/>
      <c r="F44" s="36"/>
    </row>
    <row r="45" ht="15.75" customHeight="1">
      <c r="A45" s="31"/>
      <c r="B45" s="36"/>
      <c r="C45" s="36"/>
      <c r="D45" s="36"/>
      <c r="E45" s="36"/>
      <c r="F45" s="36"/>
    </row>
    <row r="46" ht="15.75" customHeight="1">
      <c r="A46" s="31"/>
      <c r="B46" s="36"/>
      <c r="C46" s="36"/>
      <c r="D46" s="36"/>
      <c r="E46" s="36"/>
      <c r="F46" s="36"/>
    </row>
    <row r="47" ht="15.75" customHeight="1">
      <c r="A47" s="31"/>
      <c r="B47" s="36"/>
      <c r="C47" s="36"/>
      <c r="D47" s="36"/>
      <c r="E47" s="36"/>
      <c r="F47" s="36"/>
    </row>
    <row r="48" ht="15.75" customHeight="1">
      <c r="A48" s="31"/>
      <c r="B48" s="36"/>
      <c r="C48" s="36"/>
      <c r="D48" s="36"/>
      <c r="E48" s="36"/>
      <c r="F48" s="36"/>
    </row>
    <row r="49" ht="15.75" customHeight="1">
      <c r="A49" s="31"/>
      <c r="B49" s="36"/>
      <c r="C49" s="36"/>
      <c r="D49" s="36"/>
      <c r="E49" s="36"/>
      <c r="F49" s="36"/>
    </row>
    <row r="50" ht="15.75" customHeight="1">
      <c r="A50" s="31"/>
      <c r="B50" s="36"/>
      <c r="C50" s="36"/>
      <c r="D50" s="36"/>
      <c r="E50" s="36"/>
      <c r="F50" s="36"/>
    </row>
    <row r="51" ht="15.75" customHeight="1">
      <c r="A51" s="31"/>
      <c r="B51" s="36"/>
      <c r="C51" s="36"/>
      <c r="D51" s="36"/>
      <c r="E51" s="36"/>
      <c r="F51" s="36"/>
    </row>
    <row r="52" ht="15.75" customHeight="1">
      <c r="A52" s="31"/>
      <c r="B52" s="36"/>
      <c r="C52" s="36"/>
      <c r="D52" s="36"/>
      <c r="E52" s="36"/>
      <c r="F52" s="36"/>
    </row>
    <row r="53" ht="15.75" customHeight="1">
      <c r="A53" s="31"/>
      <c r="B53" s="36"/>
      <c r="C53" s="36"/>
      <c r="D53" s="36"/>
      <c r="E53" s="36"/>
      <c r="F53" s="36"/>
    </row>
    <row r="54" ht="15.75" customHeight="1">
      <c r="A54" s="31"/>
      <c r="B54" s="36"/>
      <c r="C54" s="36"/>
      <c r="D54" s="36"/>
      <c r="E54" s="36"/>
      <c r="F54" s="36"/>
    </row>
    <row r="55" ht="15.75" customHeight="1">
      <c r="A55" s="31"/>
      <c r="B55" s="36"/>
      <c r="C55" s="36"/>
      <c r="D55" s="36"/>
      <c r="E55" s="36"/>
      <c r="F55" s="36"/>
    </row>
    <row r="56" ht="15.75" customHeight="1">
      <c r="A56" s="31"/>
      <c r="B56" s="36"/>
      <c r="C56" s="36"/>
      <c r="D56" s="36"/>
      <c r="E56" s="36"/>
      <c r="F56" s="36"/>
    </row>
    <row r="57" ht="15.75" customHeight="1">
      <c r="A57" s="31"/>
      <c r="B57" s="36"/>
      <c r="C57" s="36"/>
      <c r="D57" s="36"/>
      <c r="E57" s="36"/>
      <c r="F57" s="36"/>
    </row>
    <row r="58" ht="15.75" customHeight="1">
      <c r="A58" s="31"/>
      <c r="B58" s="36"/>
      <c r="C58" s="36"/>
      <c r="D58" s="36"/>
      <c r="E58" s="36"/>
      <c r="F58" s="36"/>
    </row>
    <row r="59" ht="15.75" customHeight="1">
      <c r="A59" s="31"/>
      <c r="B59" s="36"/>
      <c r="C59" s="36"/>
      <c r="D59" s="36"/>
      <c r="E59" s="36"/>
      <c r="F59" s="36"/>
    </row>
    <row r="60" ht="15.75" customHeight="1">
      <c r="A60" s="31"/>
      <c r="B60" s="36"/>
      <c r="C60" s="36"/>
      <c r="D60" s="36"/>
      <c r="E60" s="36"/>
      <c r="F60" s="36"/>
    </row>
    <row r="61" ht="15.75" customHeight="1">
      <c r="A61" s="31"/>
      <c r="B61" s="36"/>
      <c r="C61" s="36"/>
      <c r="D61" s="36"/>
      <c r="E61" s="36"/>
      <c r="F61" s="36"/>
    </row>
    <row r="62" ht="15.75" customHeight="1">
      <c r="A62" s="31"/>
      <c r="B62" s="36"/>
      <c r="C62" s="36"/>
      <c r="D62" s="36"/>
      <c r="E62" s="36"/>
      <c r="F62" s="36"/>
    </row>
    <row r="63" ht="15.75" customHeight="1">
      <c r="A63" s="31"/>
      <c r="B63" s="36"/>
      <c r="C63" s="36"/>
      <c r="D63" s="36"/>
      <c r="E63" s="36"/>
      <c r="F63" s="36"/>
    </row>
    <row r="64" ht="15.75" customHeight="1">
      <c r="A64" s="31"/>
      <c r="B64" s="36"/>
      <c r="C64" s="36"/>
      <c r="D64" s="36"/>
      <c r="E64" s="36"/>
      <c r="F64" s="36"/>
    </row>
    <row r="65" ht="15.75" customHeight="1">
      <c r="A65" s="31"/>
      <c r="B65" s="36"/>
      <c r="C65" s="36"/>
      <c r="D65" s="36"/>
      <c r="E65" s="36"/>
      <c r="F65" s="36"/>
    </row>
    <row r="66" ht="15.75" customHeight="1">
      <c r="A66" s="31"/>
      <c r="B66" s="36"/>
      <c r="C66" s="36"/>
      <c r="D66" s="36"/>
      <c r="E66" s="36"/>
      <c r="F66" s="36"/>
    </row>
    <row r="67" ht="15.75" customHeight="1">
      <c r="A67" s="31"/>
      <c r="B67" s="36"/>
      <c r="C67" s="36"/>
      <c r="D67" s="36"/>
      <c r="E67" s="36"/>
      <c r="F67" s="36"/>
    </row>
    <row r="68" ht="15.75" customHeight="1">
      <c r="A68" s="31"/>
      <c r="B68" s="36"/>
      <c r="C68" s="36"/>
      <c r="D68" s="36"/>
      <c r="E68" s="36"/>
      <c r="F68" s="36"/>
    </row>
    <row r="69" ht="15.75" customHeight="1">
      <c r="A69" s="31"/>
      <c r="B69" s="36"/>
      <c r="C69" s="36"/>
      <c r="D69" s="36"/>
      <c r="E69" s="36"/>
      <c r="F69" s="36"/>
    </row>
    <row r="70" ht="15.75" customHeight="1">
      <c r="A70" s="31"/>
      <c r="B70" s="36"/>
      <c r="C70" s="36"/>
      <c r="D70" s="36"/>
      <c r="E70" s="36"/>
      <c r="F70" s="36"/>
    </row>
    <row r="71" ht="15.75" customHeight="1">
      <c r="A71" s="31"/>
      <c r="B71" s="36"/>
      <c r="C71" s="36"/>
      <c r="D71" s="36"/>
      <c r="E71" s="36"/>
      <c r="F71" s="36"/>
    </row>
    <row r="72" ht="15.75" customHeight="1">
      <c r="A72" s="31"/>
      <c r="B72" s="36"/>
      <c r="C72" s="36"/>
      <c r="D72" s="36"/>
      <c r="E72" s="36"/>
      <c r="F72" s="36"/>
    </row>
    <row r="73" ht="15.75" customHeight="1">
      <c r="A73" s="31"/>
      <c r="B73" s="36"/>
      <c r="C73" s="36"/>
      <c r="D73" s="36"/>
      <c r="E73" s="36"/>
      <c r="F73" s="36"/>
    </row>
    <row r="74" ht="15.75" customHeight="1">
      <c r="A74" s="31"/>
      <c r="B74" s="36"/>
      <c r="C74" s="36"/>
      <c r="D74" s="36"/>
      <c r="E74" s="36"/>
      <c r="F74" s="36"/>
    </row>
    <row r="75" ht="15.75" customHeight="1">
      <c r="A75" s="31"/>
      <c r="B75" s="36"/>
      <c r="C75" s="36"/>
      <c r="D75" s="36"/>
      <c r="E75" s="36"/>
      <c r="F75" s="36"/>
    </row>
    <row r="76" ht="15.75" customHeight="1">
      <c r="A76" s="31"/>
      <c r="B76" s="36"/>
      <c r="C76" s="36"/>
      <c r="D76" s="36"/>
      <c r="E76" s="36"/>
      <c r="F76" s="36"/>
    </row>
    <row r="77" ht="15.75" customHeight="1">
      <c r="A77" s="31"/>
      <c r="B77" s="36"/>
      <c r="C77" s="36"/>
      <c r="D77" s="36"/>
      <c r="E77" s="36"/>
      <c r="F77" s="36"/>
    </row>
    <row r="78" ht="15.75" customHeight="1">
      <c r="A78" s="31"/>
      <c r="B78" s="36"/>
      <c r="C78" s="36"/>
      <c r="D78" s="36"/>
      <c r="E78" s="36"/>
      <c r="F78" s="36"/>
    </row>
    <row r="79" ht="15.75" customHeight="1">
      <c r="A79" s="31"/>
      <c r="B79" s="36"/>
      <c r="C79" s="36"/>
      <c r="D79" s="36"/>
      <c r="E79" s="36"/>
      <c r="F79" s="36"/>
    </row>
    <row r="80" ht="15.75" customHeight="1">
      <c r="A80" s="31"/>
      <c r="B80" s="36"/>
      <c r="C80" s="36"/>
      <c r="D80" s="36"/>
      <c r="E80" s="36"/>
      <c r="F80" s="36"/>
    </row>
    <row r="81" ht="15.75" customHeight="1">
      <c r="A81" s="31"/>
      <c r="B81" s="36"/>
      <c r="C81" s="36"/>
      <c r="D81" s="36"/>
      <c r="E81" s="36"/>
      <c r="F81" s="36"/>
    </row>
    <row r="82" ht="15.75" customHeight="1">
      <c r="A82" s="31"/>
      <c r="B82" s="36"/>
      <c r="C82" s="36"/>
      <c r="D82" s="36"/>
      <c r="E82" s="36"/>
      <c r="F82" s="36"/>
    </row>
    <row r="83" ht="15.75" customHeight="1">
      <c r="A83" s="31"/>
      <c r="B83" s="36"/>
      <c r="C83" s="36"/>
      <c r="D83" s="36"/>
      <c r="E83" s="36"/>
      <c r="F83" s="36"/>
    </row>
    <row r="84" ht="15.75" customHeight="1">
      <c r="A84" s="31"/>
      <c r="B84" s="36"/>
      <c r="C84" s="36"/>
      <c r="D84" s="36"/>
      <c r="E84" s="36"/>
      <c r="F84" s="36"/>
    </row>
    <row r="85" ht="15.75" customHeight="1">
      <c r="A85" s="31"/>
      <c r="B85" s="36"/>
      <c r="C85" s="36"/>
      <c r="D85" s="36"/>
      <c r="E85" s="36"/>
      <c r="F85" s="36"/>
    </row>
    <row r="86" ht="15.75" customHeight="1">
      <c r="A86" s="31"/>
      <c r="B86" s="36"/>
      <c r="C86" s="36"/>
      <c r="D86" s="36"/>
      <c r="E86" s="36"/>
      <c r="F86" s="36"/>
    </row>
    <row r="87" ht="15.75" customHeight="1">
      <c r="A87" s="31"/>
      <c r="B87" s="36"/>
      <c r="C87" s="36"/>
      <c r="D87" s="36"/>
      <c r="E87" s="36"/>
      <c r="F87" s="36"/>
    </row>
    <row r="88" ht="15.75" customHeight="1">
      <c r="A88" s="31"/>
      <c r="B88" s="36"/>
      <c r="C88" s="36"/>
      <c r="D88" s="36"/>
      <c r="E88" s="36"/>
      <c r="F88" s="36"/>
    </row>
    <row r="89" ht="15.75" customHeight="1">
      <c r="A89" s="31"/>
      <c r="B89" s="36"/>
      <c r="C89" s="36"/>
      <c r="D89" s="36"/>
      <c r="E89" s="36"/>
      <c r="F89" s="36"/>
    </row>
    <row r="90" ht="15.75" customHeight="1">
      <c r="A90" s="31"/>
      <c r="B90" s="36"/>
      <c r="C90" s="36"/>
      <c r="D90" s="36"/>
      <c r="E90" s="36"/>
      <c r="F90" s="36"/>
    </row>
    <row r="91" ht="15.75" customHeight="1">
      <c r="A91" s="31"/>
      <c r="B91" s="36"/>
      <c r="C91" s="36"/>
      <c r="D91" s="36"/>
      <c r="E91" s="36"/>
      <c r="F91" s="36"/>
    </row>
    <row r="92" ht="15.75" customHeight="1">
      <c r="A92" s="31"/>
      <c r="B92" s="36"/>
      <c r="C92" s="36"/>
      <c r="D92" s="36"/>
      <c r="E92" s="36"/>
      <c r="F92" s="36"/>
    </row>
    <row r="93" ht="15.75" customHeight="1">
      <c r="A93" s="31"/>
      <c r="B93" s="36"/>
      <c r="C93" s="36"/>
      <c r="D93" s="36"/>
      <c r="E93" s="36"/>
      <c r="F93" s="36"/>
    </row>
    <row r="94" ht="15.75" customHeight="1">
      <c r="A94" s="31"/>
      <c r="B94" s="36"/>
      <c r="C94" s="36"/>
      <c r="D94" s="36"/>
      <c r="E94" s="36"/>
      <c r="F94" s="36"/>
    </row>
    <row r="95" ht="15.75" customHeight="1">
      <c r="A95" s="31"/>
      <c r="B95" s="36"/>
      <c r="C95" s="36"/>
      <c r="D95" s="36"/>
      <c r="E95" s="36"/>
      <c r="F95" s="36"/>
    </row>
    <row r="96" ht="15.75" customHeight="1">
      <c r="A96" s="31"/>
      <c r="B96" s="36"/>
      <c r="C96" s="36"/>
      <c r="D96" s="36"/>
      <c r="E96" s="36"/>
      <c r="F96" s="36"/>
    </row>
    <row r="97" ht="15.75" customHeight="1">
      <c r="A97" s="31"/>
      <c r="B97" s="36"/>
      <c r="C97" s="36"/>
      <c r="D97" s="36"/>
      <c r="E97" s="36"/>
      <c r="F97" s="36"/>
    </row>
    <row r="98" ht="15.75" customHeight="1">
      <c r="A98" s="31"/>
      <c r="B98" s="36"/>
      <c r="C98" s="36"/>
      <c r="D98" s="36"/>
      <c r="E98" s="36"/>
      <c r="F98" s="36"/>
    </row>
    <row r="99" ht="15.75" customHeight="1">
      <c r="A99" s="31"/>
      <c r="B99" s="36"/>
      <c r="C99" s="36"/>
      <c r="D99" s="36"/>
      <c r="E99" s="36"/>
      <c r="F99" s="36"/>
    </row>
    <row r="100" ht="15.75" customHeight="1">
      <c r="A100" s="31"/>
      <c r="B100" s="36"/>
      <c r="C100" s="36"/>
      <c r="D100" s="36"/>
      <c r="E100" s="36"/>
      <c r="F100" s="36"/>
    </row>
    <row r="101" ht="15.75" customHeight="1">
      <c r="A101" s="31"/>
      <c r="B101" s="36"/>
      <c r="C101" s="36"/>
      <c r="D101" s="36"/>
      <c r="E101" s="36"/>
      <c r="F101" s="36"/>
    </row>
    <row r="102" ht="15.75" customHeight="1">
      <c r="A102" s="31"/>
      <c r="B102" s="36"/>
      <c r="C102" s="36"/>
      <c r="D102" s="36"/>
      <c r="E102" s="36"/>
      <c r="F102" s="36"/>
    </row>
    <row r="103" ht="15.75" customHeight="1">
      <c r="A103" s="31"/>
      <c r="B103" s="36"/>
      <c r="C103" s="36"/>
      <c r="D103" s="36"/>
      <c r="E103" s="36"/>
      <c r="F103" s="36"/>
    </row>
    <row r="104" ht="15.75" customHeight="1">
      <c r="A104" s="31"/>
      <c r="B104" s="36"/>
      <c r="C104" s="36"/>
      <c r="D104" s="36"/>
      <c r="E104" s="36"/>
      <c r="F104" s="36"/>
    </row>
    <row r="105" ht="15.75" customHeight="1">
      <c r="A105" s="31"/>
      <c r="B105" s="36"/>
      <c r="C105" s="36"/>
      <c r="D105" s="36"/>
      <c r="E105" s="36"/>
      <c r="F105" s="36"/>
    </row>
    <row r="106" ht="15.75" customHeight="1">
      <c r="A106" s="31"/>
      <c r="B106" s="36"/>
      <c r="C106" s="36"/>
      <c r="D106" s="36"/>
      <c r="E106" s="36"/>
      <c r="F106" s="36"/>
    </row>
    <row r="107" ht="15.75" customHeight="1">
      <c r="A107" s="31"/>
      <c r="B107" s="36"/>
      <c r="C107" s="36"/>
      <c r="D107" s="36"/>
      <c r="E107" s="36"/>
      <c r="F107" s="36"/>
    </row>
    <row r="108" ht="15.75" customHeight="1">
      <c r="A108" s="31"/>
      <c r="B108" s="36"/>
      <c r="C108" s="36"/>
      <c r="D108" s="36"/>
      <c r="E108" s="36"/>
      <c r="F108" s="36"/>
    </row>
    <row r="109" ht="15.75" customHeight="1">
      <c r="A109" s="31"/>
      <c r="B109" s="36"/>
      <c r="C109" s="36"/>
      <c r="D109" s="36"/>
      <c r="E109" s="36"/>
      <c r="F109" s="36"/>
    </row>
    <row r="110" ht="15.75" customHeight="1">
      <c r="A110" s="31"/>
      <c r="B110" s="36"/>
      <c r="C110" s="36"/>
      <c r="D110" s="36"/>
      <c r="E110" s="36"/>
      <c r="F110" s="36"/>
    </row>
    <row r="111" ht="15.75" customHeight="1">
      <c r="A111" s="31"/>
      <c r="B111" s="36"/>
      <c r="C111" s="36"/>
      <c r="D111" s="36"/>
      <c r="E111" s="36"/>
      <c r="F111" s="36"/>
    </row>
    <row r="112" ht="15.75" customHeight="1">
      <c r="A112" s="31"/>
      <c r="B112" s="36"/>
      <c r="C112" s="36"/>
      <c r="D112" s="36"/>
      <c r="E112" s="36"/>
      <c r="F112" s="36"/>
    </row>
    <row r="113" ht="15.75" customHeight="1">
      <c r="A113" s="31"/>
      <c r="B113" s="36"/>
      <c r="C113" s="36"/>
      <c r="D113" s="36"/>
      <c r="E113" s="36"/>
      <c r="F113" s="36"/>
    </row>
    <row r="114" ht="15.75" customHeight="1">
      <c r="A114" s="31"/>
      <c r="B114" s="36"/>
      <c r="C114" s="36"/>
      <c r="D114" s="36"/>
      <c r="E114" s="36"/>
      <c r="F114" s="36"/>
    </row>
    <row r="115" ht="15.75" customHeight="1">
      <c r="A115" s="31"/>
      <c r="B115" s="36"/>
      <c r="C115" s="36"/>
      <c r="D115" s="36"/>
      <c r="E115" s="36"/>
      <c r="F115" s="36"/>
    </row>
    <row r="116" ht="15.75" customHeight="1">
      <c r="A116" s="31"/>
      <c r="B116" s="36"/>
      <c r="C116" s="36"/>
      <c r="D116" s="36"/>
      <c r="E116" s="36"/>
      <c r="F116" s="36"/>
    </row>
    <row r="117" ht="15.75" customHeight="1">
      <c r="A117" s="31"/>
      <c r="B117" s="36"/>
      <c r="C117" s="36"/>
      <c r="D117" s="36"/>
      <c r="E117" s="36"/>
      <c r="F117" s="36"/>
    </row>
    <row r="118" ht="15.75" customHeight="1">
      <c r="A118" s="31"/>
      <c r="B118" s="36"/>
      <c r="C118" s="36"/>
      <c r="D118" s="36"/>
      <c r="E118" s="36"/>
      <c r="F118" s="36"/>
    </row>
    <row r="119" ht="15.75" customHeight="1">
      <c r="A119" s="31"/>
      <c r="B119" s="36"/>
      <c r="C119" s="36"/>
      <c r="D119" s="36"/>
      <c r="E119" s="36"/>
      <c r="F119" s="36"/>
    </row>
    <row r="120" ht="15.75" customHeight="1">
      <c r="A120" s="31"/>
      <c r="B120" s="36"/>
      <c r="C120" s="36"/>
      <c r="D120" s="36"/>
      <c r="E120" s="36"/>
      <c r="F120" s="36"/>
    </row>
    <row r="121" ht="15.75" customHeight="1">
      <c r="A121" s="31"/>
      <c r="B121" s="36"/>
      <c r="C121" s="36"/>
      <c r="D121" s="36"/>
      <c r="E121" s="36"/>
      <c r="F121" s="36"/>
    </row>
    <row r="122" ht="15.75" customHeight="1">
      <c r="A122" s="31"/>
      <c r="B122" s="36"/>
      <c r="C122" s="36"/>
      <c r="D122" s="36"/>
      <c r="E122" s="36"/>
      <c r="F122" s="36"/>
    </row>
    <row r="123" ht="15.75" customHeight="1">
      <c r="A123" s="31"/>
      <c r="B123" s="36"/>
      <c r="C123" s="36"/>
      <c r="D123" s="36"/>
      <c r="E123" s="36"/>
      <c r="F123" s="36"/>
    </row>
    <row r="124" ht="15.75" customHeight="1">
      <c r="A124" s="31"/>
      <c r="B124" s="36"/>
      <c r="C124" s="36"/>
      <c r="D124" s="36"/>
      <c r="E124" s="36"/>
      <c r="F124" s="36"/>
    </row>
    <row r="125" ht="15.75" customHeight="1">
      <c r="A125" s="31"/>
      <c r="B125" s="36"/>
      <c r="C125" s="36"/>
      <c r="D125" s="36"/>
      <c r="E125" s="36"/>
      <c r="F125" s="36"/>
    </row>
    <row r="126" ht="15.75" customHeight="1">
      <c r="A126" s="31"/>
      <c r="B126" s="36"/>
      <c r="C126" s="36"/>
      <c r="D126" s="36"/>
      <c r="E126" s="36"/>
      <c r="F126" s="36"/>
    </row>
    <row r="127" ht="15.75" customHeight="1">
      <c r="A127" s="31"/>
      <c r="B127" s="36"/>
      <c r="C127" s="36"/>
      <c r="D127" s="36"/>
      <c r="E127" s="36"/>
      <c r="F127" s="36"/>
    </row>
    <row r="128" ht="15.75" customHeight="1">
      <c r="A128" s="31"/>
      <c r="B128" s="36"/>
      <c r="C128" s="36"/>
      <c r="D128" s="36"/>
      <c r="E128" s="36"/>
      <c r="F128" s="36"/>
    </row>
    <row r="129" ht="15.75" customHeight="1">
      <c r="A129" s="31"/>
      <c r="B129" s="36"/>
      <c r="C129" s="36"/>
      <c r="D129" s="36"/>
      <c r="E129" s="36"/>
      <c r="F129" s="36"/>
    </row>
    <row r="130" ht="15.75" customHeight="1">
      <c r="A130" s="31"/>
      <c r="B130" s="36"/>
      <c r="C130" s="36"/>
      <c r="D130" s="36"/>
      <c r="E130" s="36"/>
      <c r="F130" s="36"/>
    </row>
    <row r="131" ht="15.75" customHeight="1">
      <c r="A131" s="31"/>
      <c r="B131" s="36"/>
      <c r="C131" s="36"/>
      <c r="D131" s="36"/>
      <c r="E131" s="36"/>
      <c r="F131" s="36"/>
    </row>
    <row r="132" ht="15.75" customHeight="1">
      <c r="A132" s="31"/>
      <c r="B132" s="36"/>
      <c r="C132" s="36"/>
      <c r="D132" s="36"/>
      <c r="E132" s="36"/>
      <c r="F132" s="36"/>
    </row>
    <row r="133" ht="15.75" customHeight="1">
      <c r="A133" s="31"/>
      <c r="B133" s="36"/>
      <c r="C133" s="36"/>
      <c r="D133" s="36"/>
      <c r="E133" s="36"/>
      <c r="F133" s="36"/>
    </row>
    <row r="134" ht="15.75" customHeight="1">
      <c r="A134" s="31"/>
      <c r="B134" s="36"/>
      <c r="C134" s="36"/>
      <c r="D134" s="36"/>
      <c r="E134" s="36"/>
      <c r="F134" s="36"/>
    </row>
    <row r="135" ht="15.75" customHeight="1">
      <c r="A135" s="31"/>
      <c r="B135" s="36"/>
      <c r="C135" s="36"/>
      <c r="D135" s="36"/>
      <c r="E135" s="36"/>
      <c r="F135" s="36"/>
    </row>
    <row r="136" ht="15.75" customHeight="1">
      <c r="A136" s="31"/>
      <c r="B136" s="36"/>
      <c r="C136" s="36"/>
      <c r="D136" s="36"/>
      <c r="E136" s="36"/>
      <c r="F136" s="36"/>
    </row>
    <row r="137" ht="15.75" customHeight="1">
      <c r="A137" s="31"/>
      <c r="B137" s="36"/>
      <c r="C137" s="36"/>
      <c r="D137" s="36"/>
      <c r="E137" s="36"/>
      <c r="F137" s="36"/>
    </row>
    <row r="138" ht="15.75" customHeight="1">
      <c r="A138" s="31"/>
      <c r="B138" s="36"/>
      <c r="C138" s="36"/>
      <c r="D138" s="36"/>
      <c r="E138" s="36"/>
      <c r="F138" s="36"/>
    </row>
    <row r="139" ht="15.75" customHeight="1">
      <c r="A139" s="31"/>
      <c r="B139" s="36"/>
      <c r="C139" s="36"/>
      <c r="D139" s="36"/>
      <c r="E139" s="36"/>
      <c r="F139" s="36"/>
    </row>
    <row r="140" ht="15.75" customHeight="1">
      <c r="A140" s="31"/>
      <c r="B140" s="36"/>
      <c r="C140" s="36"/>
      <c r="D140" s="36"/>
      <c r="E140" s="36"/>
      <c r="F140" s="36"/>
    </row>
    <row r="141" ht="15.75" customHeight="1">
      <c r="A141" s="31"/>
      <c r="B141" s="36"/>
      <c r="C141" s="36"/>
      <c r="D141" s="36"/>
      <c r="E141" s="36"/>
      <c r="F141" s="36"/>
    </row>
    <row r="142" ht="15.75" customHeight="1">
      <c r="A142" s="31"/>
      <c r="B142" s="36"/>
      <c r="C142" s="36"/>
      <c r="D142" s="36"/>
      <c r="E142" s="36"/>
      <c r="F142" s="36"/>
    </row>
    <row r="143" ht="15.75" customHeight="1">
      <c r="A143" s="31"/>
      <c r="B143" s="36"/>
      <c r="C143" s="36"/>
      <c r="D143" s="36"/>
      <c r="E143" s="36"/>
      <c r="F143" s="36"/>
    </row>
    <row r="144" ht="15.75" customHeight="1">
      <c r="A144" s="31"/>
      <c r="B144" s="36"/>
      <c r="C144" s="36"/>
      <c r="D144" s="36"/>
      <c r="E144" s="36"/>
      <c r="F144" s="36"/>
    </row>
    <row r="145" ht="15.75" customHeight="1">
      <c r="A145" s="31"/>
      <c r="B145" s="36"/>
      <c r="C145" s="36"/>
      <c r="D145" s="36"/>
      <c r="E145" s="36"/>
      <c r="F145" s="36"/>
    </row>
    <row r="146" ht="15.75" customHeight="1">
      <c r="A146" s="31"/>
      <c r="B146" s="36"/>
      <c r="C146" s="36"/>
      <c r="D146" s="36"/>
      <c r="E146" s="36"/>
      <c r="F146" s="36"/>
    </row>
    <row r="147" ht="15.75" customHeight="1">
      <c r="A147" s="31"/>
      <c r="B147" s="36"/>
      <c r="C147" s="36"/>
      <c r="D147" s="36"/>
      <c r="E147" s="36"/>
      <c r="F147" s="36"/>
    </row>
    <row r="148" ht="15.75" customHeight="1">
      <c r="A148" s="31"/>
      <c r="B148" s="36"/>
      <c r="C148" s="36"/>
      <c r="D148" s="36"/>
      <c r="E148" s="36"/>
      <c r="F148" s="36"/>
    </row>
    <row r="149" ht="15.75" customHeight="1">
      <c r="A149" s="31"/>
      <c r="B149" s="36"/>
      <c r="C149" s="36"/>
      <c r="D149" s="36"/>
      <c r="E149" s="36"/>
      <c r="F149" s="36"/>
    </row>
    <row r="150" ht="15.75" customHeight="1">
      <c r="A150" s="31"/>
      <c r="B150" s="36"/>
      <c r="C150" s="36"/>
      <c r="D150" s="36"/>
      <c r="E150" s="36"/>
      <c r="F150" s="36"/>
    </row>
    <row r="151" ht="15.75" customHeight="1">
      <c r="A151" s="31"/>
      <c r="B151" s="36"/>
      <c r="C151" s="36"/>
      <c r="D151" s="36"/>
      <c r="E151" s="36"/>
      <c r="F151" s="36"/>
    </row>
    <row r="152" ht="15.75" customHeight="1">
      <c r="A152" s="31"/>
      <c r="B152" s="36"/>
      <c r="C152" s="36"/>
      <c r="D152" s="36"/>
      <c r="E152" s="36"/>
      <c r="F152" s="36"/>
    </row>
    <row r="153" ht="15.75" customHeight="1">
      <c r="A153" s="31"/>
      <c r="B153" s="36"/>
      <c r="C153" s="36"/>
      <c r="D153" s="36"/>
      <c r="E153" s="36"/>
      <c r="F153" s="36"/>
    </row>
    <row r="154" ht="15.75" customHeight="1">
      <c r="A154" s="31"/>
      <c r="B154" s="36"/>
      <c r="C154" s="36"/>
      <c r="D154" s="36"/>
      <c r="E154" s="36"/>
      <c r="F154" s="36"/>
    </row>
    <row r="155" ht="15.75" customHeight="1">
      <c r="A155" s="31"/>
      <c r="B155" s="36"/>
      <c r="C155" s="36"/>
      <c r="D155" s="36"/>
      <c r="E155" s="36"/>
      <c r="F155" s="36"/>
    </row>
    <row r="156" ht="15.75" customHeight="1">
      <c r="A156" s="31"/>
      <c r="B156" s="36"/>
      <c r="C156" s="36"/>
      <c r="D156" s="36"/>
      <c r="E156" s="36"/>
      <c r="F156" s="36"/>
    </row>
    <row r="157" ht="15.75" customHeight="1">
      <c r="A157" s="31"/>
      <c r="B157" s="36"/>
      <c r="C157" s="36"/>
      <c r="D157" s="36"/>
      <c r="E157" s="36"/>
      <c r="F157" s="36"/>
    </row>
    <row r="158" ht="15.75" customHeight="1">
      <c r="A158" s="31"/>
      <c r="B158" s="36"/>
      <c r="C158" s="36"/>
      <c r="D158" s="36"/>
      <c r="E158" s="36"/>
      <c r="F158" s="36"/>
    </row>
    <row r="159" ht="15.75" customHeight="1">
      <c r="A159" s="31"/>
      <c r="B159" s="36"/>
      <c r="C159" s="36"/>
      <c r="D159" s="36"/>
      <c r="E159" s="36"/>
      <c r="F159" s="36"/>
    </row>
    <row r="160" ht="15.75" customHeight="1">
      <c r="A160" s="31"/>
      <c r="B160" s="36"/>
      <c r="C160" s="36"/>
      <c r="D160" s="36"/>
      <c r="E160" s="36"/>
      <c r="F160" s="36"/>
    </row>
    <row r="161" ht="15.75" customHeight="1">
      <c r="A161" s="31"/>
      <c r="B161" s="36"/>
      <c r="C161" s="36"/>
      <c r="D161" s="36"/>
      <c r="E161" s="36"/>
      <c r="F161" s="36"/>
    </row>
    <row r="162" ht="15.75" customHeight="1">
      <c r="A162" s="31"/>
      <c r="B162" s="36"/>
      <c r="C162" s="36"/>
      <c r="D162" s="36"/>
      <c r="E162" s="36"/>
      <c r="F162" s="36"/>
    </row>
    <row r="163" ht="15.75" customHeight="1">
      <c r="A163" s="31"/>
      <c r="B163" s="36"/>
      <c r="C163" s="36"/>
      <c r="D163" s="36"/>
      <c r="E163" s="36"/>
      <c r="F163" s="36"/>
    </row>
    <row r="164" ht="15.75" customHeight="1">
      <c r="A164" s="31"/>
      <c r="B164" s="36"/>
      <c r="C164" s="36"/>
      <c r="D164" s="36"/>
      <c r="E164" s="36"/>
      <c r="F164" s="36"/>
    </row>
    <row r="165" ht="15.75" customHeight="1">
      <c r="A165" s="31"/>
      <c r="B165" s="36"/>
      <c r="C165" s="36"/>
      <c r="D165" s="36"/>
      <c r="E165" s="36"/>
      <c r="F165" s="36"/>
    </row>
    <row r="166" ht="15.75" customHeight="1">
      <c r="A166" s="31"/>
      <c r="B166" s="36"/>
      <c r="C166" s="36"/>
      <c r="D166" s="36"/>
      <c r="E166" s="36"/>
      <c r="F166" s="36"/>
    </row>
    <row r="167" ht="15.75" customHeight="1">
      <c r="A167" s="31"/>
      <c r="B167" s="36"/>
      <c r="C167" s="36"/>
      <c r="D167" s="36"/>
      <c r="E167" s="36"/>
      <c r="F167" s="36"/>
    </row>
    <row r="168" ht="15.75" customHeight="1">
      <c r="A168" s="31"/>
      <c r="B168" s="36"/>
      <c r="C168" s="36"/>
      <c r="D168" s="36"/>
      <c r="E168" s="36"/>
      <c r="F168" s="36"/>
    </row>
    <row r="169" ht="15.75" customHeight="1">
      <c r="A169" s="31"/>
      <c r="B169" s="36"/>
      <c r="C169" s="36"/>
      <c r="D169" s="36"/>
      <c r="E169" s="36"/>
      <c r="F169" s="36"/>
    </row>
    <row r="170" ht="15.75" customHeight="1">
      <c r="A170" s="31"/>
      <c r="B170" s="36"/>
      <c r="C170" s="36"/>
      <c r="D170" s="36"/>
      <c r="E170" s="36"/>
      <c r="F170" s="36"/>
    </row>
    <row r="171" ht="15.75" customHeight="1">
      <c r="A171" s="31"/>
      <c r="B171" s="36"/>
      <c r="C171" s="36"/>
      <c r="D171" s="36"/>
      <c r="E171" s="36"/>
      <c r="F171" s="36"/>
    </row>
    <row r="172" ht="15.75" customHeight="1">
      <c r="A172" s="31"/>
      <c r="B172" s="36"/>
      <c r="C172" s="36"/>
      <c r="D172" s="36"/>
      <c r="E172" s="36"/>
      <c r="F172" s="36"/>
    </row>
    <row r="173" ht="15.75" customHeight="1">
      <c r="A173" s="31"/>
      <c r="B173" s="36"/>
      <c r="C173" s="36"/>
      <c r="D173" s="36"/>
      <c r="E173" s="36"/>
      <c r="F173" s="36"/>
    </row>
    <row r="174" ht="15.75" customHeight="1">
      <c r="A174" s="31"/>
      <c r="B174" s="36"/>
      <c r="C174" s="36"/>
      <c r="D174" s="36"/>
      <c r="E174" s="36"/>
      <c r="F174" s="36"/>
    </row>
    <row r="175" ht="15.75" customHeight="1">
      <c r="A175" s="31"/>
      <c r="B175" s="36"/>
      <c r="C175" s="36"/>
      <c r="D175" s="36"/>
      <c r="E175" s="36"/>
      <c r="F175" s="36"/>
    </row>
    <row r="176" ht="15.75" customHeight="1">
      <c r="A176" s="31"/>
      <c r="B176" s="36"/>
      <c r="C176" s="36"/>
      <c r="D176" s="36"/>
      <c r="E176" s="36"/>
      <c r="F176" s="36"/>
    </row>
    <row r="177" ht="15.75" customHeight="1">
      <c r="A177" s="31"/>
      <c r="B177" s="36"/>
      <c r="C177" s="36"/>
      <c r="D177" s="36"/>
      <c r="E177" s="36"/>
      <c r="F177" s="36"/>
    </row>
    <row r="178" ht="15.75" customHeight="1">
      <c r="A178" s="31"/>
      <c r="B178" s="36"/>
      <c r="C178" s="36"/>
      <c r="D178" s="36"/>
      <c r="E178" s="36"/>
      <c r="F178" s="36"/>
    </row>
    <row r="179" ht="15.75" customHeight="1">
      <c r="A179" s="31"/>
      <c r="B179" s="36"/>
      <c r="C179" s="36"/>
      <c r="D179" s="36"/>
      <c r="E179" s="36"/>
      <c r="F179" s="36"/>
    </row>
    <row r="180" ht="15.75" customHeight="1">
      <c r="A180" s="31"/>
      <c r="B180" s="36"/>
      <c r="C180" s="36"/>
      <c r="D180" s="36"/>
      <c r="E180" s="36"/>
      <c r="F180" s="36"/>
    </row>
    <row r="181" ht="15.75" customHeight="1">
      <c r="A181" s="31"/>
      <c r="B181" s="36"/>
      <c r="C181" s="36"/>
      <c r="D181" s="36"/>
      <c r="E181" s="36"/>
      <c r="F181" s="36"/>
    </row>
    <row r="182" ht="15.75" customHeight="1">
      <c r="A182" s="31"/>
      <c r="B182" s="36"/>
      <c r="C182" s="36"/>
      <c r="D182" s="36"/>
      <c r="E182" s="36"/>
      <c r="F182" s="36"/>
    </row>
    <row r="183" ht="15.75" customHeight="1">
      <c r="A183" s="31"/>
      <c r="B183" s="36"/>
      <c r="C183" s="36"/>
      <c r="D183" s="36"/>
      <c r="E183" s="36"/>
      <c r="F183" s="36"/>
    </row>
    <row r="184" ht="15.75" customHeight="1">
      <c r="A184" s="31"/>
      <c r="B184" s="36"/>
      <c r="C184" s="36"/>
      <c r="D184" s="36"/>
      <c r="E184" s="36"/>
      <c r="F184" s="36"/>
    </row>
    <row r="185" ht="15.75" customHeight="1">
      <c r="A185" s="31"/>
      <c r="B185" s="36"/>
      <c r="C185" s="36"/>
      <c r="D185" s="36"/>
      <c r="E185" s="36"/>
      <c r="F185" s="36"/>
    </row>
    <row r="186" ht="15.75" customHeight="1">
      <c r="A186" s="31"/>
      <c r="B186" s="36"/>
      <c r="C186" s="36"/>
      <c r="D186" s="36"/>
      <c r="E186" s="36"/>
      <c r="F186" s="36"/>
    </row>
    <row r="187" ht="15.75" customHeight="1">
      <c r="A187" s="31"/>
      <c r="B187" s="36"/>
      <c r="C187" s="36"/>
      <c r="D187" s="36"/>
      <c r="E187" s="36"/>
      <c r="F187" s="36"/>
    </row>
    <row r="188" ht="15.75" customHeight="1">
      <c r="A188" s="31"/>
      <c r="B188" s="36"/>
      <c r="C188" s="36"/>
      <c r="D188" s="36"/>
      <c r="E188" s="36"/>
      <c r="F188" s="36"/>
    </row>
    <row r="189" ht="15.75" customHeight="1">
      <c r="A189" s="31"/>
      <c r="B189" s="36"/>
      <c r="C189" s="36"/>
      <c r="D189" s="36"/>
      <c r="E189" s="36"/>
      <c r="F189" s="36"/>
    </row>
    <row r="190" ht="15.75" customHeight="1">
      <c r="A190" s="31"/>
      <c r="B190" s="36"/>
      <c r="C190" s="36"/>
      <c r="D190" s="36"/>
      <c r="E190" s="36"/>
      <c r="F190" s="36"/>
    </row>
    <row r="191" ht="15.75" customHeight="1">
      <c r="A191" s="31"/>
      <c r="B191" s="36"/>
      <c r="C191" s="36"/>
      <c r="D191" s="36"/>
      <c r="E191" s="36"/>
      <c r="F191" s="36"/>
    </row>
    <row r="192" ht="15.75" customHeight="1">
      <c r="A192" s="31"/>
      <c r="B192" s="36"/>
      <c r="C192" s="36"/>
      <c r="D192" s="36"/>
      <c r="E192" s="36"/>
      <c r="F192" s="36"/>
    </row>
    <row r="193" ht="15.75" customHeight="1">
      <c r="A193" s="31"/>
      <c r="B193" s="36"/>
      <c r="C193" s="36"/>
      <c r="D193" s="36"/>
      <c r="E193" s="36"/>
      <c r="F193" s="36"/>
    </row>
    <row r="194" ht="15.75" customHeight="1">
      <c r="A194" s="31"/>
      <c r="B194" s="36"/>
      <c r="C194" s="36"/>
      <c r="D194" s="36"/>
      <c r="E194" s="36"/>
      <c r="F194" s="36"/>
    </row>
    <row r="195" ht="15.75" customHeight="1">
      <c r="A195" s="31"/>
      <c r="B195" s="36"/>
      <c r="C195" s="36"/>
      <c r="D195" s="36"/>
      <c r="E195" s="36"/>
      <c r="F195" s="36"/>
    </row>
    <row r="196" ht="15.75" customHeight="1">
      <c r="A196" s="31"/>
      <c r="B196" s="36"/>
      <c r="C196" s="36"/>
      <c r="D196" s="36"/>
      <c r="E196" s="36"/>
      <c r="F196" s="36"/>
    </row>
    <row r="197" ht="15.75" customHeight="1">
      <c r="A197" s="31"/>
      <c r="B197" s="36"/>
      <c r="C197" s="36"/>
      <c r="D197" s="36"/>
      <c r="E197" s="36"/>
      <c r="F197" s="36"/>
    </row>
    <row r="198" ht="15.75" customHeight="1">
      <c r="A198" s="31"/>
      <c r="B198" s="36"/>
      <c r="C198" s="36"/>
      <c r="D198" s="36"/>
      <c r="E198" s="36"/>
      <c r="F198" s="36"/>
    </row>
    <row r="199" ht="15.75" customHeight="1">
      <c r="A199" s="31"/>
      <c r="B199" s="36"/>
      <c r="C199" s="36"/>
      <c r="D199" s="36"/>
      <c r="E199" s="36"/>
      <c r="F199" s="36"/>
    </row>
    <row r="200" ht="15.75" customHeight="1">
      <c r="A200" s="31"/>
      <c r="B200" s="36"/>
      <c r="C200" s="36"/>
      <c r="D200" s="36"/>
      <c r="E200" s="36"/>
      <c r="F200" s="36"/>
    </row>
    <row r="201" ht="15.75" customHeight="1">
      <c r="A201" s="31"/>
      <c r="B201" s="36"/>
      <c r="C201" s="36"/>
      <c r="D201" s="36"/>
      <c r="E201" s="36"/>
      <c r="F201" s="36"/>
    </row>
    <row r="202" ht="15.75" customHeight="1">
      <c r="A202" s="31"/>
      <c r="B202" s="36"/>
      <c r="C202" s="36"/>
      <c r="D202" s="36"/>
      <c r="E202" s="36"/>
      <c r="F202" s="36"/>
    </row>
    <row r="203" ht="15.75" customHeight="1">
      <c r="A203" s="31"/>
      <c r="B203" s="36"/>
      <c r="C203" s="36"/>
      <c r="D203" s="36"/>
      <c r="E203" s="36"/>
      <c r="F203" s="36"/>
    </row>
    <row r="204" ht="15.75" customHeight="1">
      <c r="A204" s="31"/>
      <c r="B204" s="36"/>
      <c r="C204" s="36"/>
      <c r="D204" s="36"/>
      <c r="E204" s="36"/>
      <c r="F204" s="36"/>
    </row>
    <row r="205" ht="15.75" customHeight="1">
      <c r="A205" s="31"/>
      <c r="B205" s="36"/>
      <c r="C205" s="36"/>
      <c r="D205" s="36"/>
      <c r="E205" s="36"/>
      <c r="F205" s="36"/>
    </row>
    <row r="206" ht="15.75" customHeight="1">
      <c r="A206" s="31"/>
      <c r="B206" s="36"/>
      <c r="C206" s="36"/>
      <c r="D206" s="36"/>
      <c r="E206" s="36"/>
      <c r="F206" s="36"/>
    </row>
    <row r="207" ht="15.75" customHeight="1">
      <c r="A207" s="31"/>
      <c r="B207" s="36"/>
      <c r="C207" s="36"/>
      <c r="D207" s="36"/>
      <c r="E207" s="36"/>
      <c r="F207" s="36"/>
    </row>
    <row r="208" ht="15.75" customHeight="1">
      <c r="A208" s="31"/>
      <c r="B208" s="36"/>
      <c r="C208" s="36"/>
      <c r="D208" s="36"/>
      <c r="E208" s="36"/>
      <c r="F208" s="36"/>
    </row>
    <row r="209" ht="15.75" customHeight="1">
      <c r="A209" s="31"/>
      <c r="B209" s="36"/>
      <c r="C209" s="36"/>
      <c r="D209" s="36"/>
      <c r="E209" s="36"/>
      <c r="F209" s="36"/>
    </row>
    <row r="210" ht="15.75" customHeight="1">
      <c r="A210" s="31"/>
      <c r="B210" s="36"/>
      <c r="C210" s="36"/>
      <c r="D210" s="36"/>
      <c r="E210" s="36"/>
      <c r="F210" s="36"/>
    </row>
    <row r="211" ht="15.75" customHeight="1">
      <c r="A211" s="31"/>
      <c r="B211" s="36"/>
      <c r="C211" s="36"/>
      <c r="D211" s="36"/>
      <c r="E211" s="36"/>
      <c r="F211" s="36"/>
    </row>
    <row r="212" ht="15.75" customHeight="1">
      <c r="A212" s="31"/>
      <c r="B212" s="36"/>
      <c r="C212" s="36"/>
      <c r="D212" s="36"/>
      <c r="E212" s="36"/>
      <c r="F212" s="36"/>
    </row>
    <row r="213" ht="15.75" customHeight="1">
      <c r="A213" s="31"/>
      <c r="B213" s="36"/>
      <c r="C213" s="36"/>
      <c r="D213" s="36"/>
      <c r="E213" s="36"/>
      <c r="F213" s="36"/>
    </row>
    <row r="214" ht="15.75" customHeight="1">
      <c r="A214" s="31"/>
      <c r="B214" s="36"/>
      <c r="C214" s="36"/>
      <c r="D214" s="36"/>
      <c r="E214" s="36"/>
      <c r="F214" s="36"/>
    </row>
    <row r="215" ht="15.75" customHeight="1">
      <c r="A215" s="31"/>
      <c r="B215" s="36"/>
      <c r="C215" s="36"/>
      <c r="D215" s="36"/>
      <c r="E215" s="36"/>
      <c r="F215" s="36"/>
    </row>
    <row r="216" ht="15.75" customHeight="1">
      <c r="A216" s="31"/>
      <c r="B216" s="36"/>
      <c r="C216" s="36"/>
      <c r="D216" s="36"/>
      <c r="E216" s="36"/>
      <c r="F216" s="36"/>
    </row>
    <row r="217" ht="15.75" customHeight="1">
      <c r="A217" s="31"/>
      <c r="B217" s="36"/>
      <c r="C217" s="36"/>
      <c r="D217" s="36"/>
      <c r="E217" s="36"/>
      <c r="F217" s="36"/>
    </row>
    <row r="218" ht="15.75" customHeight="1">
      <c r="A218" s="31"/>
      <c r="B218" s="36"/>
      <c r="C218" s="36"/>
      <c r="D218" s="36"/>
      <c r="E218" s="36"/>
      <c r="F218" s="36"/>
    </row>
    <row r="219" ht="15.75" customHeight="1">
      <c r="A219" s="31"/>
      <c r="B219" s="36"/>
      <c r="C219" s="36"/>
      <c r="D219" s="36"/>
      <c r="E219" s="36"/>
      <c r="F219" s="36"/>
    </row>
    <row r="220" ht="15.75" customHeight="1">
      <c r="A220" s="31"/>
      <c r="B220" s="36"/>
      <c r="C220" s="36"/>
      <c r="D220" s="36"/>
      <c r="E220" s="36"/>
      <c r="F220" s="3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7:A8"/>
    <mergeCell ref="A9:A12"/>
    <mergeCell ref="B13:F16"/>
    <mergeCell ref="B17:F20"/>
    <mergeCell ref="A1:A2"/>
    <mergeCell ref="B1:F2"/>
    <mergeCell ref="A3:A4"/>
    <mergeCell ref="B3:F4"/>
    <mergeCell ref="B5:F5"/>
    <mergeCell ref="B6:F7"/>
    <mergeCell ref="B8:F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3"/>
    <col customWidth="1" min="2" max="2" width="19.0"/>
    <col customWidth="1" min="3" max="7" width="17.0"/>
    <col customWidth="1" min="8" max="8" width="11.25"/>
    <col customWidth="1" min="9" max="24" width="17.0"/>
  </cols>
  <sheetData>
    <row r="1" ht="15.75" customHeight="1">
      <c r="A1" s="1"/>
      <c r="B1" s="2" t="s">
        <v>1</v>
      </c>
      <c r="H1" s="1"/>
      <c r="I1" s="2" t="s">
        <v>2</v>
      </c>
      <c r="O1" s="1"/>
      <c r="P1" s="1"/>
      <c r="Q1" s="1"/>
      <c r="R1" s="1"/>
      <c r="S1" s="1"/>
      <c r="T1" s="1"/>
      <c r="U1" s="1"/>
      <c r="V1" s="1"/>
      <c r="W1" s="1"/>
      <c r="X1" s="1"/>
    </row>
    <row r="2" ht="51.75" customHeight="1">
      <c r="A2" s="4"/>
      <c r="B2" s="14" t="s">
        <v>5</v>
      </c>
      <c r="C2" s="14" t="s">
        <v>8</v>
      </c>
      <c r="D2" s="14" t="s">
        <v>10</v>
      </c>
      <c r="E2" s="14" t="s">
        <v>12</v>
      </c>
      <c r="F2" s="14" t="s">
        <v>15</v>
      </c>
      <c r="G2" s="22" t="s">
        <v>19</v>
      </c>
      <c r="H2" s="23" t="s">
        <v>25</v>
      </c>
      <c r="I2" s="14" t="s">
        <v>5</v>
      </c>
      <c r="J2" s="22" t="s">
        <v>8</v>
      </c>
      <c r="K2" s="25" t="s">
        <v>10</v>
      </c>
      <c r="L2" s="14" t="s">
        <v>12</v>
      </c>
      <c r="M2" s="14" t="s">
        <v>15</v>
      </c>
      <c r="N2" s="22" t="s">
        <v>34</v>
      </c>
      <c r="O2" s="4"/>
      <c r="P2" s="4"/>
      <c r="Q2" s="4"/>
      <c r="R2" s="4"/>
      <c r="S2" s="4"/>
      <c r="T2" s="4"/>
      <c r="U2" s="4"/>
      <c r="V2" s="4"/>
      <c r="W2" s="4"/>
      <c r="X2" s="4"/>
    </row>
    <row r="3" ht="28.5" customHeight="1">
      <c r="A3" s="1"/>
      <c r="B3" s="28" t="s">
        <v>39</v>
      </c>
      <c r="C3" s="34">
        <f>'General Campaigns 2025'!J2</f>
        <v>52000</v>
      </c>
      <c r="D3" s="28">
        <f>'General Campaigns 2025'!R2</f>
        <v>425</v>
      </c>
      <c r="E3" s="34">
        <f t="shared" ref="E3:E14" si="1">C3/D3</f>
        <v>122.3529412</v>
      </c>
      <c r="F3" s="34">
        <f>'General Campaigns 2025'!T2</f>
        <v>13000</v>
      </c>
      <c r="G3" s="34">
        <f t="shared" ref="G3:G14" si="2">C3/F3</f>
        <v>4</v>
      </c>
      <c r="H3" s="1"/>
      <c r="I3" s="28" t="s">
        <v>39</v>
      </c>
      <c r="J3" s="34">
        <f>'Gifting Tracking'!O3</f>
        <v>4500</v>
      </c>
      <c r="K3" s="45">
        <f>'Gifting Tracking'!U3</f>
        <v>1665</v>
      </c>
      <c r="L3" s="34">
        <f t="shared" ref="L3:L14" si="3">J3/K3</f>
        <v>2.702702703</v>
      </c>
      <c r="M3" s="34">
        <f>'Gifting Tracking'!V3</f>
        <v>83250</v>
      </c>
      <c r="N3" s="50">
        <f>M3/J3</f>
        <v>18.5</v>
      </c>
      <c r="O3" s="1"/>
      <c r="P3" s="1"/>
      <c r="Q3" s="1"/>
      <c r="R3" s="1"/>
      <c r="S3" s="1"/>
      <c r="T3" s="1"/>
      <c r="U3" s="1"/>
      <c r="V3" s="1"/>
      <c r="W3" s="1"/>
      <c r="X3" s="1"/>
    </row>
    <row r="4" ht="28.5" customHeight="1">
      <c r="A4" s="1"/>
      <c r="B4" s="28" t="s">
        <v>54</v>
      </c>
      <c r="C4" s="34">
        <f>'General Campaigns 2025'!J7</f>
        <v>0</v>
      </c>
      <c r="D4" s="28">
        <f>'General Campaigns 2025'!R7</f>
        <v>0</v>
      </c>
      <c r="E4" s="34" t="str">
        <f t="shared" si="1"/>
        <v>#DIV/0!</v>
      </c>
      <c r="F4" s="34">
        <f>'General Campaigns 2025'!T7</f>
        <v>0</v>
      </c>
      <c r="G4" s="34" t="str">
        <f t="shared" si="2"/>
        <v>#DIV/0!</v>
      </c>
      <c r="H4" s="1"/>
      <c r="I4" s="28" t="s">
        <v>54</v>
      </c>
      <c r="J4" s="34">
        <f>'Gifting Tracking'!O20</f>
        <v>0</v>
      </c>
      <c r="K4" s="45">
        <f>'Gifting Tracking'!U20</f>
        <v>0</v>
      </c>
      <c r="L4" s="34" t="str">
        <f t="shared" si="3"/>
        <v>#DIV/0!</v>
      </c>
      <c r="M4" s="45">
        <f>'Gifting Tracking'!V20</f>
        <v>0</v>
      </c>
      <c r="N4" s="34" t="str">
        <f t="shared" ref="N4:N14" si="4">J4/M4</f>
        <v>#DIV/0!</v>
      </c>
      <c r="O4" s="1"/>
      <c r="P4" s="1"/>
      <c r="Q4" s="1"/>
      <c r="R4" s="1"/>
      <c r="S4" s="1"/>
      <c r="T4" s="1"/>
      <c r="U4" s="1"/>
      <c r="V4" s="1"/>
      <c r="W4" s="1"/>
      <c r="X4" s="1"/>
    </row>
    <row r="5" ht="28.5" customHeight="1">
      <c r="A5" s="1"/>
      <c r="B5" s="28" t="s">
        <v>62</v>
      </c>
      <c r="C5" s="34">
        <f>'General Campaigns 2025'!J12</f>
        <v>0</v>
      </c>
      <c r="D5" s="28">
        <f>'General Campaigns 2025'!R12</f>
        <v>0</v>
      </c>
      <c r="E5" s="34" t="str">
        <f t="shared" si="1"/>
        <v>#DIV/0!</v>
      </c>
      <c r="F5" s="34">
        <f>'General Campaigns 2025'!T12</f>
        <v>0</v>
      </c>
      <c r="G5" s="34" t="str">
        <f t="shared" si="2"/>
        <v>#DIV/0!</v>
      </c>
      <c r="H5" s="1"/>
      <c r="I5" s="28" t="s">
        <v>62</v>
      </c>
      <c r="J5" s="34">
        <f>'Gifting Tracking'!O40</f>
        <v>0</v>
      </c>
      <c r="K5" s="45">
        <f>'Gifting Tracking'!U40</f>
        <v>0</v>
      </c>
      <c r="L5" s="34" t="str">
        <f t="shared" si="3"/>
        <v>#DIV/0!</v>
      </c>
      <c r="M5" s="45">
        <f>'Gifting Tracking'!V40</f>
        <v>0</v>
      </c>
      <c r="N5" s="34" t="str">
        <f t="shared" si="4"/>
        <v>#DIV/0!</v>
      </c>
      <c r="O5" s="1"/>
      <c r="P5" s="1"/>
      <c r="Q5" s="1"/>
      <c r="R5" s="1"/>
      <c r="S5" s="1"/>
      <c r="T5" s="1"/>
      <c r="U5" s="1"/>
      <c r="V5" s="1"/>
      <c r="W5" s="1"/>
      <c r="X5" s="1"/>
    </row>
    <row r="6" ht="28.5" customHeight="1">
      <c r="A6" s="1"/>
      <c r="B6" s="28" t="s">
        <v>64</v>
      </c>
      <c r="C6" s="34">
        <f>'General Campaigns 2025'!J17</f>
        <v>0</v>
      </c>
      <c r="D6" s="28">
        <f>'General Campaigns 2025'!R17</f>
        <v>0</v>
      </c>
      <c r="E6" s="34" t="str">
        <f t="shared" si="1"/>
        <v>#DIV/0!</v>
      </c>
      <c r="F6" s="34">
        <f>'General Campaigns 2025'!T17</f>
        <v>0</v>
      </c>
      <c r="G6" s="34" t="str">
        <f t="shared" si="2"/>
        <v>#DIV/0!</v>
      </c>
      <c r="H6" s="1"/>
      <c r="I6" s="28" t="s">
        <v>64</v>
      </c>
      <c r="J6" s="34">
        <f>'Gifting Tracking'!O60</f>
        <v>0</v>
      </c>
      <c r="K6" s="45">
        <f>'Gifting Tracking'!U60</f>
        <v>0</v>
      </c>
      <c r="L6" s="34" t="str">
        <f t="shared" si="3"/>
        <v>#DIV/0!</v>
      </c>
      <c r="M6" s="45">
        <f>'Gifting Tracking'!V60</f>
        <v>0</v>
      </c>
      <c r="N6" s="34" t="str">
        <f t="shared" si="4"/>
        <v>#DIV/0!</v>
      </c>
      <c r="O6" s="1"/>
      <c r="P6" s="1"/>
      <c r="Q6" s="1"/>
      <c r="R6" s="1"/>
      <c r="S6" s="1"/>
      <c r="T6" s="1"/>
      <c r="U6" s="1"/>
      <c r="V6" s="1"/>
      <c r="W6" s="1"/>
      <c r="X6" s="1"/>
    </row>
    <row r="7" ht="28.5" customHeight="1">
      <c r="A7" s="1"/>
      <c r="B7" s="28" t="s">
        <v>66</v>
      </c>
      <c r="C7" s="34">
        <f>'General Campaigns 2025'!J22</f>
        <v>0</v>
      </c>
      <c r="D7" s="28">
        <f>'General Campaigns 2025'!R22</f>
        <v>0</v>
      </c>
      <c r="E7" s="34" t="str">
        <f t="shared" si="1"/>
        <v>#DIV/0!</v>
      </c>
      <c r="F7" s="34">
        <f>'General Campaigns 2025'!T22</f>
        <v>0</v>
      </c>
      <c r="G7" s="34" t="str">
        <f t="shared" si="2"/>
        <v>#DIV/0!</v>
      </c>
      <c r="H7" s="1"/>
      <c r="I7" s="28" t="s">
        <v>66</v>
      </c>
      <c r="J7" s="34">
        <f>'Gifting Tracking'!O80</f>
        <v>0</v>
      </c>
      <c r="K7" s="45">
        <f>'Gifting Tracking'!U80</f>
        <v>0</v>
      </c>
      <c r="L7" s="34" t="str">
        <f t="shared" si="3"/>
        <v>#DIV/0!</v>
      </c>
      <c r="M7" s="45">
        <f>'Gifting Tracking'!V80</f>
        <v>0</v>
      </c>
      <c r="N7" s="34" t="str">
        <f t="shared" si="4"/>
        <v>#DIV/0!</v>
      </c>
      <c r="O7" s="1"/>
      <c r="P7" s="1"/>
      <c r="Q7" s="1"/>
      <c r="R7" s="1"/>
      <c r="S7" s="1"/>
      <c r="T7" s="1"/>
      <c r="U7" s="1"/>
      <c r="V7" s="1"/>
      <c r="W7" s="1"/>
      <c r="X7" s="1"/>
    </row>
    <row r="8" ht="28.5" customHeight="1">
      <c r="A8" s="1"/>
      <c r="B8" s="28" t="s">
        <v>67</v>
      </c>
      <c r="C8" s="34">
        <f>'General Campaigns 2025'!J27</f>
        <v>0</v>
      </c>
      <c r="D8" s="28">
        <f>'General Campaigns 2025'!R27</f>
        <v>0</v>
      </c>
      <c r="E8" s="34" t="str">
        <f t="shared" si="1"/>
        <v>#DIV/0!</v>
      </c>
      <c r="F8" s="34">
        <f>'General Campaigns 2025'!T27</f>
        <v>0</v>
      </c>
      <c r="G8" s="34" t="str">
        <f t="shared" si="2"/>
        <v>#DIV/0!</v>
      </c>
      <c r="H8" s="1"/>
      <c r="I8" s="28" t="s">
        <v>67</v>
      </c>
      <c r="J8" s="34">
        <f>'Gifting Tracking'!O100</f>
        <v>0</v>
      </c>
      <c r="K8" s="45">
        <f>'Gifting Tracking'!U100</f>
        <v>0</v>
      </c>
      <c r="L8" s="34" t="str">
        <f t="shared" si="3"/>
        <v>#DIV/0!</v>
      </c>
      <c r="M8" s="45">
        <f>'Gifting Tracking'!V100</f>
        <v>0</v>
      </c>
      <c r="N8" s="34" t="str">
        <f t="shared" si="4"/>
        <v>#DIV/0!</v>
      </c>
      <c r="O8" s="1"/>
      <c r="P8" s="1"/>
      <c r="Q8" s="1"/>
      <c r="R8" s="1"/>
      <c r="S8" s="1"/>
      <c r="T8" s="1"/>
      <c r="U8" s="1"/>
      <c r="V8" s="1"/>
      <c r="W8" s="1"/>
      <c r="X8" s="1"/>
    </row>
    <row r="9" ht="28.5" customHeight="1">
      <c r="A9" s="1"/>
      <c r="B9" s="28" t="s">
        <v>68</v>
      </c>
      <c r="C9" s="34">
        <f>'General Campaigns 2025'!J32</f>
        <v>0</v>
      </c>
      <c r="D9" s="28">
        <f>'General Campaigns 2025'!R32</f>
        <v>0</v>
      </c>
      <c r="E9" s="34" t="str">
        <f t="shared" si="1"/>
        <v>#DIV/0!</v>
      </c>
      <c r="F9" s="34">
        <f>'General Campaigns 2025'!T32</f>
        <v>0</v>
      </c>
      <c r="G9" s="34" t="str">
        <f t="shared" si="2"/>
        <v>#DIV/0!</v>
      </c>
      <c r="H9" s="1"/>
      <c r="I9" s="28" t="s">
        <v>68</v>
      </c>
      <c r="J9" s="34">
        <f>'Gifting Tracking'!O120</f>
        <v>0</v>
      </c>
      <c r="K9" s="45">
        <f>'Gifting Tracking'!U120</f>
        <v>0</v>
      </c>
      <c r="L9" s="34" t="str">
        <f t="shared" si="3"/>
        <v>#DIV/0!</v>
      </c>
      <c r="M9" s="45">
        <f>'Gifting Tracking'!V120</f>
        <v>0</v>
      </c>
      <c r="N9" s="34" t="str">
        <f t="shared" si="4"/>
        <v>#DIV/0!</v>
      </c>
      <c r="O9" s="1"/>
      <c r="P9" s="1"/>
      <c r="Q9" s="1"/>
      <c r="R9" s="1"/>
      <c r="S9" s="1"/>
      <c r="T9" s="1"/>
      <c r="U9" s="1"/>
      <c r="V9" s="1"/>
      <c r="W9" s="1"/>
      <c r="X9" s="1"/>
    </row>
    <row r="10" ht="28.5" customHeight="1">
      <c r="A10" s="1"/>
      <c r="B10" s="28" t="s">
        <v>70</v>
      </c>
      <c r="C10" s="34">
        <f>'General Campaigns 2025'!J37</f>
        <v>0</v>
      </c>
      <c r="D10" s="28">
        <f>'General Campaigns 2025'!R37</f>
        <v>0</v>
      </c>
      <c r="E10" s="34" t="str">
        <f t="shared" si="1"/>
        <v>#DIV/0!</v>
      </c>
      <c r="F10" s="34">
        <f>'General Campaigns 2025'!T37</f>
        <v>0</v>
      </c>
      <c r="G10" s="34" t="str">
        <f t="shared" si="2"/>
        <v>#DIV/0!</v>
      </c>
      <c r="H10" s="1"/>
      <c r="I10" s="28" t="s">
        <v>70</v>
      </c>
      <c r="J10" s="34">
        <f>'Gifting Tracking'!O140</f>
        <v>0</v>
      </c>
      <c r="K10" s="45">
        <f>'Gifting Tracking'!U140</f>
        <v>0</v>
      </c>
      <c r="L10" s="34" t="str">
        <f t="shared" si="3"/>
        <v>#DIV/0!</v>
      </c>
      <c r="M10" s="45">
        <f>'Gifting Tracking'!V140</f>
        <v>0</v>
      </c>
      <c r="N10" s="34" t="str">
        <f t="shared" si="4"/>
        <v>#DIV/0!</v>
      </c>
      <c r="O10" s="1"/>
      <c r="P10" s="1"/>
      <c r="Q10" s="1"/>
      <c r="R10" s="1"/>
      <c r="S10" s="1"/>
      <c r="T10" s="1"/>
      <c r="U10" s="1"/>
      <c r="V10" s="1"/>
      <c r="W10" s="1"/>
      <c r="X10" s="1"/>
    </row>
    <row r="11" ht="28.5" customHeight="1">
      <c r="A11" s="1"/>
      <c r="B11" s="28" t="s">
        <v>71</v>
      </c>
      <c r="C11" s="34">
        <f>'General Campaigns 2025'!J42</f>
        <v>0</v>
      </c>
      <c r="D11" s="28">
        <f>'General Campaigns 2025'!R42</f>
        <v>0</v>
      </c>
      <c r="E11" s="34" t="str">
        <f t="shared" si="1"/>
        <v>#DIV/0!</v>
      </c>
      <c r="F11" s="34">
        <f>'General Campaigns 2025'!T42</f>
        <v>0</v>
      </c>
      <c r="G11" s="34" t="str">
        <f t="shared" si="2"/>
        <v>#DIV/0!</v>
      </c>
      <c r="H11" s="1"/>
      <c r="I11" s="28" t="s">
        <v>71</v>
      </c>
      <c r="J11" s="34">
        <f>'Gifting Tracking'!O160</f>
        <v>0</v>
      </c>
      <c r="K11" s="45">
        <f>'Gifting Tracking'!U160</f>
        <v>0</v>
      </c>
      <c r="L11" s="34" t="str">
        <f t="shared" si="3"/>
        <v>#DIV/0!</v>
      </c>
      <c r="M11" s="45">
        <f>'Gifting Tracking'!V160</f>
        <v>0</v>
      </c>
      <c r="N11" s="34" t="str">
        <f t="shared" si="4"/>
        <v>#DIV/0!</v>
      </c>
      <c r="O11" s="1"/>
      <c r="P11" s="1"/>
      <c r="Q11" s="1"/>
      <c r="R11" s="1"/>
      <c r="S11" s="1"/>
      <c r="T11" s="1"/>
      <c r="U11" s="1"/>
      <c r="V11" s="1"/>
      <c r="W11" s="1"/>
      <c r="X11" s="1"/>
    </row>
    <row r="12" ht="28.5" customHeight="1">
      <c r="A12" s="1"/>
      <c r="B12" s="28" t="s">
        <v>72</v>
      </c>
      <c r="C12" s="34">
        <f>'General Campaigns 2025'!J47</f>
        <v>0</v>
      </c>
      <c r="D12" s="28">
        <f>'General Campaigns 2025'!R47</f>
        <v>0</v>
      </c>
      <c r="E12" s="34" t="str">
        <f t="shared" si="1"/>
        <v>#DIV/0!</v>
      </c>
      <c r="F12" s="34">
        <f>'General Campaigns 2025'!T47</f>
        <v>0</v>
      </c>
      <c r="G12" s="34" t="str">
        <f t="shared" si="2"/>
        <v>#DIV/0!</v>
      </c>
      <c r="H12" s="1"/>
      <c r="I12" s="28" t="s">
        <v>72</v>
      </c>
      <c r="J12" s="34">
        <f>'Gifting Tracking'!O180</f>
        <v>0</v>
      </c>
      <c r="K12" s="45">
        <f>'Gifting Tracking'!U180</f>
        <v>0</v>
      </c>
      <c r="L12" s="34" t="str">
        <f t="shared" si="3"/>
        <v>#DIV/0!</v>
      </c>
      <c r="M12" s="45">
        <f>'Gifting Tracking'!V180</f>
        <v>0</v>
      </c>
      <c r="N12" s="34" t="str">
        <f t="shared" si="4"/>
        <v>#DIV/0!</v>
      </c>
      <c r="O12" s="1"/>
      <c r="P12" s="1"/>
      <c r="Q12" s="1"/>
      <c r="R12" s="1"/>
      <c r="S12" s="1"/>
      <c r="T12" s="1"/>
      <c r="U12" s="1"/>
      <c r="V12" s="1"/>
      <c r="W12" s="1"/>
      <c r="X12" s="1"/>
    </row>
    <row r="13" ht="28.5" customHeight="1">
      <c r="A13" s="1"/>
      <c r="B13" s="28" t="s">
        <v>74</v>
      </c>
      <c r="C13" s="34">
        <f>'General Campaigns 2025'!J52</f>
        <v>0</v>
      </c>
      <c r="D13" s="28">
        <f>'General Campaigns 2025'!R52</f>
        <v>0</v>
      </c>
      <c r="E13" s="34" t="str">
        <f t="shared" si="1"/>
        <v>#DIV/0!</v>
      </c>
      <c r="F13" s="34">
        <f>'General Campaigns 2025'!T52</f>
        <v>0</v>
      </c>
      <c r="G13" s="34" t="str">
        <f t="shared" si="2"/>
        <v>#DIV/0!</v>
      </c>
      <c r="H13" s="1"/>
      <c r="I13" s="28" t="s">
        <v>74</v>
      </c>
      <c r="J13" s="34">
        <f>'Gifting Tracking'!O200</f>
        <v>0</v>
      </c>
      <c r="K13" s="45">
        <f>'Gifting Tracking'!U200</f>
        <v>0</v>
      </c>
      <c r="L13" s="34" t="str">
        <f t="shared" si="3"/>
        <v>#DIV/0!</v>
      </c>
      <c r="M13" s="45">
        <f>'Gifting Tracking'!V200</f>
        <v>0</v>
      </c>
      <c r="N13" s="34" t="str">
        <f t="shared" si="4"/>
        <v>#DIV/0!</v>
      </c>
      <c r="O13" s="1"/>
      <c r="P13" s="1"/>
      <c r="Q13" s="1"/>
      <c r="R13" s="1"/>
      <c r="S13" s="1"/>
      <c r="T13" s="1"/>
      <c r="U13" s="1"/>
      <c r="V13" s="1"/>
      <c r="W13" s="1"/>
      <c r="X13" s="1"/>
    </row>
    <row r="14" ht="28.5" customHeight="1">
      <c r="A14" s="1"/>
      <c r="B14" s="28" t="s">
        <v>75</v>
      </c>
      <c r="C14" s="34">
        <f>'General Campaigns 2025'!J57</f>
        <v>0</v>
      </c>
      <c r="D14" s="28">
        <f>'General Campaigns 2025'!R57</f>
        <v>0</v>
      </c>
      <c r="E14" s="34" t="str">
        <f t="shared" si="1"/>
        <v>#DIV/0!</v>
      </c>
      <c r="F14" s="34">
        <f>'General Campaigns 2025'!T57</f>
        <v>0</v>
      </c>
      <c r="G14" s="34" t="str">
        <f t="shared" si="2"/>
        <v>#DIV/0!</v>
      </c>
      <c r="H14" s="1"/>
      <c r="I14" s="28" t="s">
        <v>75</v>
      </c>
      <c r="J14" s="34">
        <f>'Gifting Tracking'!O220</f>
        <v>0</v>
      </c>
      <c r="K14" s="45">
        <f>'Gifting Tracking'!U220</f>
        <v>0</v>
      </c>
      <c r="L14" s="34" t="str">
        <f t="shared" si="3"/>
        <v>#DIV/0!</v>
      </c>
      <c r="M14" s="45">
        <f>'Gifting Tracking'!V220</f>
        <v>0</v>
      </c>
      <c r="N14" s="34" t="str">
        <f t="shared" si="4"/>
        <v>#DIV/0!</v>
      </c>
      <c r="O14" s="1"/>
      <c r="P14" s="1"/>
      <c r="Q14" s="1"/>
      <c r="R14" s="1"/>
      <c r="S14" s="1"/>
      <c r="T14" s="1"/>
      <c r="U14" s="1"/>
      <c r="V14" s="1"/>
      <c r="W14" s="1"/>
      <c r="X14" s="1"/>
    </row>
    <row r="15" ht="15.75" customHeight="1">
      <c r="A15" s="1"/>
      <c r="B15" s="28"/>
      <c r="C15" s="28"/>
      <c r="D15" s="28"/>
      <c r="E15" s="28"/>
      <c r="F15" s="28"/>
      <c r="G15" s="34"/>
      <c r="H15" s="1"/>
      <c r="I15" s="1"/>
      <c r="J15" s="67"/>
      <c r="K15" s="68"/>
      <c r="L15" s="1"/>
      <c r="M15" s="1"/>
      <c r="N15" s="1"/>
      <c r="O15" s="1"/>
      <c r="P15" s="1"/>
      <c r="Q15" s="1"/>
      <c r="R15" s="1"/>
      <c r="S15" s="1"/>
      <c r="T15" s="1"/>
      <c r="U15" s="1"/>
      <c r="V15" s="1"/>
      <c r="W15" s="1"/>
      <c r="X15" s="1"/>
    </row>
    <row r="16" ht="25.5" customHeight="1">
      <c r="A16" s="69"/>
      <c r="B16" s="70" t="s">
        <v>77</v>
      </c>
      <c r="C16" s="71">
        <f t="shared" ref="C16:D16" si="5">SUM(C3:C14)</f>
        <v>52000</v>
      </c>
      <c r="D16" s="70">
        <f t="shared" si="5"/>
        <v>425</v>
      </c>
      <c r="E16" s="71">
        <f>C16/D16</f>
        <v>122.3529412</v>
      </c>
      <c r="F16" s="71">
        <f>SUM(F3:F14)</f>
        <v>13000</v>
      </c>
      <c r="G16" s="71">
        <f>C16/F16</f>
        <v>4</v>
      </c>
      <c r="H16" s="69"/>
      <c r="I16" s="70" t="s">
        <v>77</v>
      </c>
      <c r="J16" s="71">
        <f t="shared" ref="J16:K16" si="6">SUM(J3:J14)</f>
        <v>4500</v>
      </c>
      <c r="K16" s="78">
        <f t="shared" si="6"/>
        <v>1665</v>
      </c>
      <c r="L16" s="71">
        <f>J16/K16</f>
        <v>2.702702703</v>
      </c>
      <c r="M16" s="71">
        <f>SUM(M3:M14)</f>
        <v>83250</v>
      </c>
      <c r="N16" s="71">
        <f>J16/M16</f>
        <v>0.05405405405</v>
      </c>
      <c r="O16" s="69"/>
      <c r="P16" s="69"/>
      <c r="Q16" s="69"/>
      <c r="R16" s="69"/>
      <c r="S16" s="69"/>
      <c r="T16" s="69"/>
      <c r="U16" s="69"/>
      <c r="V16" s="69"/>
      <c r="W16" s="69"/>
      <c r="X16" s="69"/>
    </row>
    <row r="17" ht="15.75" customHeight="1">
      <c r="A17" s="1"/>
      <c r="B17" s="28"/>
      <c r="C17" s="28"/>
      <c r="D17" s="28"/>
      <c r="E17" s="28"/>
      <c r="F17" s="28"/>
      <c r="G17" s="34"/>
      <c r="H17" s="1"/>
      <c r="I17" s="1"/>
      <c r="J17" s="67"/>
      <c r="K17" s="68"/>
      <c r="L17" s="1"/>
      <c r="M17" s="1"/>
      <c r="N17" s="1"/>
      <c r="O17" s="1"/>
      <c r="P17" s="1"/>
      <c r="Q17" s="1"/>
      <c r="R17" s="1"/>
      <c r="S17" s="1"/>
      <c r="T17" s="1"/>
      <c r="U17" s="1"/>
      <c r="V17" s="1"/>
      <c r="W17" s="1"/>
      <c r="X17" s="1"/>
    </row>
    <row r="18" ht="15.75" customHeight="1">
      <c r="A18" s="1"/>
      <c r="B18" s="28"/>
      <c r="C18" s="28"/>
      <c r="D18" s="28"/>
      <c r="E18" s="28"/>
      <c r="F18" s="28"/>
      <c r="G18" s="34"/>
      <c r="H18" s="1"/>
      <c r="I18" s="1"/>
      <c r="J18" s="67"/>
      <c r="K18" s="68"/>
      <c r="L18" s="1"/>
      <c r="M18" s="1"/>
      <c r="N18" s="1"/>
      <c r="O18" s="1"/>
      <c r="P18" s="1"/>
      <c r="Q18" s="1"/>
      <c r="R18" s="1"/>
      <c r="S18" s="1"/>
      <c r="T18" s="1"/>
      <c r="U18" s="1"/>
      <c r="V18" s="1"/>
      <c r="W18" s="1"/>
      <c r="X18" s="1"/>
    </row>
    <row r="19" ht="15.75" customHeight="1">
      <c r="A19" s="1"/>
      <c r="B19" s="2" t="s">
        <v>79</v>
      </c>
      <c r="H19" s="1"/>
      <c r="I19" s="1"/>
      <c r="J19" s="67"/>
      <c r="K19" s="68"/>
      <c r="L19" s="1"/>
      <c r="M19" s="1"/>
      <c r="N19" s="1"/>
      <c r="O19" s="1"/>
      <c r="P19" s="1"/>
      <c r="Q19" s="1"/>
      <c r="R19" s="1"/>
      <c r="S19" s="1"/>
      <c r="T19" s="1"/>
      <c r="U19" s="1"/>
      <c r="V19" s="1"/>
      <c r="W19" s="1"/>
      <c r="X19" s="1"/>
    </row>
    <row r="20" ht="15.75" customHeight="1">
      <c r="A20" s="1"/>
      <c r="B20" s="14" t="s">
        <v>5</v>
      </c>
      <c r="C20" s="14" t="s">
        <v>8</v>
      </c>
      <c r="D20" s="14" t="s">
        <v>10</v>
      </c>
      <c r="E20" s="14" t="s">
        <v>12</v>
      </c>
      <c r="F20" s="14" t="s">
        <v>15</v>
      </c>
      <c r="G20" s="22" t="s">
        <v>34</v>
      </c>
      <c r="H20" s="1"/>
      <c r="I20" s="1"/>
      <c r="J20" s="67"/>
      <c r="K20" s="68"/>
      <c r="L20" s="1"/>
      <c r="M20" s="1"/>
      <c r="N20" s="1"/>
      <c r="O20" s="1"/>
      <c r="P20" s="1"/>
      <c r="Q20" s="1"/>
      <c r="R20" s="1"/>
      <c r="S20" s="1"/>
      <c r="T20" s="1"/>
      <c r="U20" s="1"/>
      <c r="V20" s="1"/>
      <c r="W20" s="1"/>
      <c r="X20" s="1"/>
    </row>
    <row r="21" ht="15.75" customHeight="1">
      <c r="A21" s="1"/>
      <c r="B21" s="28" t="s">
        <v>39</v>
      </c>
      <c r="C21" s="34">
        <f>'Affiliate Tracking'!L3</f>
        <v>4162.5</v>
      </c>
      <c r="D21" s="45">
        <f>'Affiliate Tracking'!M3</f>
        <v>1665</v>
      </c>
      <c r="E21" s="34">
        <f t="shared" ref="E21:E32" si="7">C21/D21</f>
        <v>2.5</v>
      </c>
      <c r="F21" s="34">
        <f>'Affiliate Tracking'!N3</f>
        <v>83250</v>
      </c>
      <c r="G21" s="50">
        <f>'Affiliate Tracking'!O3</f>
        <v>20</v>
      </c>
      <c r="H21" s="1"/>
      <c r="I21" s="1"/>
      <c r="J21" s="67"/>
      <c r="K21" s="68"/>
      <c r="L21" s="1"/>
      <c r="M21" s="1"/>
      <c r="N21" s="1"/>
      <c r="O21" s="1"/>
      <c r="P21" s="1"/>
      <c r="Q21" s="1"/>
      <c r="R21" s="1"/>
      <c r="S21" s="1"/>
      <c r="T21" s="1"/>
      <c r="U21" s="1"/>
      <c r="V21" s="1"/>
      <c r="W21" s="1"/>
      <c r="X21" s="1"/>
    </row>
    <row r="22" ht="15.75" customHeight="1">
      <c r="A22" s="1"/>
      <c r="B22" s="28" t="s">
        <v>54</v>
      </c>
      <c r="C22" s="34" t="str">
        <f>'Affiliate Tracking'!L29</f>
        <v/>
      </c>
      <c r="D22" s="45" t="str">
        <f>'Affiliate Tracking'!M29</f>
        <v/>
      </c>
      <c r="E22" s="34" t="str">
        <f t="shared" si="7"/>
        <v>#DIV/0!</v>
      </c>
      <c r="F22" s="34">
        <f>'Affiliate Tracking'!N20</f>
        <v>0</v>
      </c>
      <c r="G22" s="50">
        <f>'Affiliate Tracking'!O20</f>
        <v>0</v>
      </c>
      <c r="H22" s="1"/>
      <c r="I22" s="1"/>
      <c r="J22" s="67"/>
      <c r="K22" s="68"/>
      <c r="L22" s="1"/>
      <c r="M22" s="1"/>
      <c r="N22" s="1"/>
      <c r="O22" s="1"/>
      <c r="P22" s="1"/>
      <c r="Q22" s="1"/>
      <c r="R22" s="1"/>
      <c r="S22" s="1"/>
      <c r="T22" s="1"/>
      <c r="U22" s="1"/>
      <c r="V22" s="1"/>
      <c r="W22" s="1"/>
      <c r="X22" s="1"/>
    </row>
    <row r="23" ht="15.75" customHeight="1">
      <c r="A23" s="1"/>
      <c r="B23" s="28" t="s">
        <v>62</v>
      </c>
      <c r="C23" s="34" t="str">
        <f>'Affiliate Tracking'!L40</f>
        <v/>
      </c>
      <c r="D23" s="45">
        <f>'Affiliate Tracking'!M40</f>
        <v>0</v>
      </c>
      <c r="E23" s="34" t="str">
        <f t="shared" si="7"/>
        <v>#DIV/0!</v>
      </c>
      <c r="F23" s="34">
        <f>'Affiliate Tracking'!N40</f>
        <v>0</v>
      </c>
      <c r="G23" s="50">
        <f>'Affiliate Tracking'!O40</f>
        <v>0</v>
      </c>
      <c r="H23" s="1"/>
      <c r="I23" s="1"/>
      <c r="J23" s="67"/>
      <c r="K23" s="68"/>
      <c r="L23" s="1"/>
      <c r="M23" s="1"/>
      <c r="N23" s="1"/>
      <c r="O23" s="1"/>
      <c r="P23" s="1"/>
      <c r="Q23" s="1"/>
      <c r="R23" s="1"/>
      <c r="S23" s="1"/>
      <c r="T23" s="1"/>
      <c r="U23" s="1"/>
      <c r="V23" s="1"/>
      <c r="W23" s="1"/>
      <c r="X23" s="1"/>
    </row>
    <row r="24" ht="15.75" customHeight="1">
      <c r="A24" s="1"/>
      <c r="B24" s="28" t="s">
        <v>64</v>
      </c>
      <c r="C24" s="34" t="str">
        <f>'Affiliate Tracking'!L60</f>
        <v/>
      </c>
      <c r="D24" s="45">
        <f>'Affiliate Tracking'!M60</f>
        <v>0</v>
      </c>
      <c r="E24" s="34" t="str">
        <f t="shared" si="7"/>
        <v>#DIV/0!</v>
      </c>
      <c r="F24" s="34">
        <f>'Affiliate Tracking'!N60</f>
        <v>0</v>
      </c>
      <c r="G24" s="50">
        <f>'Affiliate Tracking'!O60</f>
        <v>0</v>
      </c>
      <c r="H24" s="1"/>
      <c r="I24" s="1"/>
      <c r="J24" s="67"/>
      <c r="K24" s="68"/>
      <c r="L24" s="1"/>
      <c r="M24" s="1"/>
      <c r="N24" s="1"/>
      <c r="O24" s="1"/>
      <c r="P24" s="1"/>
      <c r="Q24" s="1"/>
      <c r="R24" s="1"/>
      <c r="S24" s="1"/>
      <c r="T24" s="1"/>
      <c r="U24" s="1"/>
      <c r="V24" s="1"/>
      <c r="W24" s="1"/>
      <c r="X24" s="1"/>
    </row>
    <row r="25" ht="15.75" customHeight="1">
      <c r="A25" s="1"/>
      <c r="B25" s="28" t="s">
        <v>66</v>
      </c>
      <c r="C25" s="34" t="str">
        <f>'Affiliate Tracking'!L80</f>
        <v/>
      </c>
      <c r="D25" s="45">
        <f>'Affiliate Tracking'!M80</f>
        <v>0</v>
      </c>
      <c r="E25" s="34" t="str">
        <f t="shared" si="7"/>
        <v>#DIV/0!</v>
      </c>
      <c r="F25" s="34">
        <f>'Affiliate Tracking'!N80</f>
        <v>0</v>
      </c>
      <c r="G25" s="50">
        <f>'Affiliate Tracking'!O80</f>
        <v>0</v>
      </c>
      <c r="H25" s="1"/>
      <c r="I25" s="1"/>
      <c r="J25" s="67"/>
      <c r="K25" s="68"/>
      <c r="L25" s="1"/>
      <c r="M25" s="1"/>
      <c r="N25" s="1"/>
      <c r="O25" s="1"/>
      <c r="P25" s="1"/>
      <c r="Q25" s="1"/>
      <c r="R25" s="1"/>
      <c r="S25" s="1"/>
      <c r="T25" s="1"/>
      <c r="U25" s="1"/>
      <c r="V25" s="1"/>
      <c r="W25" s="1"/>
      <c r="X25" s="1"/>
    </row>
    <row r="26" ht="15.75" customHeight="1">
      <c r="A26" s="1"/>
      <c r="B26" s="28" t="s">
        <v>67</v>
      </c>
      <c r="C26" s="34" t="str">
        <f>'Affiliate Tracking'!L100</f>
        <v/>
      </c>
      <c r="D26" s="45">
        <f>'Affiliate Tracking'!M100</f>
        <v>0</v>
      </c>
      <c r="E26" s="34" t="str">
        <f t="shared" si="7"/>
        <v>#DIV/0!</v>
      </c>
      <c r="F26" s="34">
        <f>'Affiliate Tracking'!N100</f>
        <v>0</v>
      </c>
      <c r="G26" s="50">
        <f>'Affiliate Tracking'!O100</f>
        <v>0</v>
      </c>
      <c r="H26" s="1"/>
      <c r="I26" s="1"/>
      <c r="J26" s="67"/>
      <c r="K26" s="68"/>
      <c r="L26" s="1"/>
      <c r="M26" s="1"/>
      <c r="N26" s="1"/>
      <c r="O26" s="1"/>
      <c r="P26" s="1"/>
      <c r="Q26" s="1"/>
      <c r="R26" s="1"/>
      <c r="S26" s="1"/>
      <c r="T26" s="1"/>
      <c r="U26" s="1"/>
      <c r="V26" s="1"/>
      <c r="W26" s="1"/>
      <c r="X26" s="1"/>
    </row>
    <row r="27" ht="15.75" customHeight="1">
      <c r="A27" s="1"/>
      <c r="B27" s="28" t="s">
        <v>68</v>
      </c>
      <c r="C27" s="34" t="str">
        <f>'Affiliate Tracking'!L120</f>
        <v/>
      </c>
      <c r="D27" s="45">
        <f>'Affiliate Tracking'!M120</f>
        <v>0</v>
      </c>
      <c r="E27" s="34" t="str">
        <f t="shared" si="7"/>
        <v>#DIV/0!</v>
      </c>
      <c r="F27" s="34">
        <f>'Affiliate Tracking'!N120</f>
        <v>0</v>
      </c>
      <c r="G27" s="50">
        <f>'Affiliate Tracking'!O120</f>
        <v>0</v>
      </c>
      <c r="H27" s="1"/>
      <c r="I27" s="1"/>
      <c r="J27" s="67"/>
      <c r="K27" s="68"/>
      <c r="L27" s="1"/>
      <c r="M27" s="1"/>
      <c r="N27" s="1"/>
      <c r="O27" s="1"/>
      <c r="P27" s="1"/>
      <c r="Q27" s="1"/>
      <c r="R27" s="1"/>
      <c r="S27" s="1"/>
      <c r="T27" s="1"/>
      <c r="U27" s="1"/>
      <c r="V27" s="1"/>
      <c r="W27" s="1"/>
      <c r="X27" s="1"/>
    </row>
    <row r="28" ht="15.75" customHeight="1">
      <c r="A28" s="1"/>
      <c r="B28" s="28" t="s">
        <v>70</v>
      </c>
      <c r="C28" s="34" t="str">
        <f>'Affiliate Tracking'!L140</f>
        <v/>
      </c>
      <c r="D28" s="45">
        <f>'Affiliate Tracking'!M140</f>
        <v>0</v>
      </c>
      <c r="E28" s="34" t="str">
        <f t="shared" si="7"/>
        <v>#DIV/0!</v>
      </c>
      <c r="F28" s="34">
        <f>'Affiliate Tracking'!N140</f>
        <v>0</v>
      </c>
      <c r="G28" s="50">
        <f>'Affiliate Tracking'!O140</f>
        <v>0</v>
      </c>
      <c r="H28" s="1"/>
      <c r="I28" s="1"/>
      <c r="J28" s="67"/>
      <c r="K28" s="68"/>
      <c r="L28" s="1"/>
      <c r="M28" s="1"/>
      <c r="N28" s="1"/>
      <c r="O28" s="1"/>
      <c r="P28" s="1"/>
      <c r="Q28" s="1"/>
      <c r="R28" s="1"/>
      <c r="S28" s="1"/>
      <c r="T28" s="1"/>
      <c r="U28" s="1"/>
      <c r="V28" s="1"/>
      <c r="W28" s="1"/>
      <c r="X28" s="1"/>
    </row>
    <row r="29" ht="15.75" customHeight="1">
      <c r="A29" s="1"/>
      <c r="B29" s="28" t="s">
        <v>71</v>
      </c>
      <c r="C29" s="34" t="str">
        <f>'Affiliate Tracking'!L160</f>
        <v/>
      </c>
      <c r="D29" s="45">
        <f>'Affiliate Tracking'!M160</f>
        <v>0</v>
      </c>
      <c r="E29" s="34" t="str">
        <f t="shared" si="7"/>
        <v>#DIV/0!</v>
      </c>
      <c r="F29" s="34">
        <f>'Affiliate Tracking'!N160</f>
        <v>0</v>
      </c>
      <c r="G29" s="50">
        <f>'Affiliate Tracking'!O160</f>
        <v>0</v>
      </c>
      <c r="H29" s="1"/>
      <c r="I29" s="1"/>
      <c r="J29" s="67"/>
      <c r="K29" s="68"/>
      <c r="L29" s="1"/>
      <c r="M29" s="1"/>
      <c r="N29" s="1"/>
      <c r="O29" s="1"/>
      <c r="P29" s="1"/>
      <c r="Q29" s="1"/>
      <c r="R29" s="1"/>
      <c r="S29" s="1"/>
      <c r="T29" s="1"/>
      <c r="U29" s="1"/>
      <c r="V29" s="1"/>
      <c r="W29" s="1"/>
      <c r="X29" s="1"/>
    </row>
    <row r="30" ht="15.75" customHeight="1">
      <c r="A30" s="1"/>
      <c r="B30" s="28" t="s">
        <v>72</v>
      </c>
      <c r="C30" s="34" t="str">
        <f>'Affiliate Tracking'!L180</f>
        <v/>
      </c>
      <c r="D30" s="45">
        <f>'Affiliate Tracking'!M180</f>
        <v>0</v>
      </c>
      <c r="E30" s="34" t="str">
        <f t="shared" si="7"/>
        <v>#DIV/0!</v>
      </c>
      <c r="F30" s="34">
        <f>'Affiliate Tracking'!N180</f>
        <v>0</v>
      </c>
      <c r="G30" s="50">
        <f>'Affiliate Tracking'!O180</f>
        <v>0</v>
      </c>
      <c r="H30" s="1"/>
      <c r="I30" s="1"/>
      <c r="J30" s="67"/>
      <c r="K30" s="68"/>
      <c r="L30" s="1"/>
      <c r="M30" s="1"/>
      <c r="N30" s="1"/>
      <c r="O30" s="1"/>
      <c r="P30" s="1"/>
      <c r="Q30" s="1"/>
      <c r="R30" s="1"/>
      <c r="S30" s="1"/>
      <c r="T30" s="1"/>
      <c r="U30" s="1"/>
      <c r="V30" s="1"/>
      <c r="W30" s="1"/>
      <c r="X30" s="1"/>
    </row>
    <row r="31" ht="15.75" customHeight="1">
      <c r="A31" s="1"/>
      <c r="B31" s="28" t="s">
        <v>74</v>
      </c>
      <c r="C31" s="34" t="str">
        <f>'Affiliate Tracking'!L200</f>
        <v/>
      </c>
      <c r="D31" s="45">
        <f>'Affiliate Tracking'!M200</f>
        <v>0</v>
      </c>
      <c r="E31" s="34" t="str">
        <f t="shared" si="7"/>
        <v>#DIV/0!</v>
      </c>
      <c r="F31" s="34">
        <f>'Affiliate Tracking'!N200</f>
        <v>0</v>
      </c>
      <c r="G31" s="50">
        <f>'Affiliate Tracking'!O200</f>
        <v>0</v>
      </c>
      <c r="H31" s="1"/>
      <c r="I31" s="1"/>
      <c r="J31" s="67"/>
      <c r="K31" s="68"/>
      <c r="L31" s="1"/>
      <c r="M31" s="1"/>
      <c r="N31" s="1"/>
      <c r="O31" s="1"/>
      <c r="P31" s="1"/>
      <c r="Q31" s="1"/>
      <c r="R31" s="1"/>
      <c r="S31" s="1"/>
      <c r="T31" s="1"/>
      <c r="U31" s="1"/>
      <c r="V31" s="1"/>
      <c r="W31" s="1"/>
      <c r="X31" s="1"/>
    </row>
    <row r="32" ht="15.75" customHeight="1">
      <c r="A32" s="1"/>
      <c r="B32" s="28" t="s">
        <v>75</v>
      </c>
      <c r="C32" s="34" t="str">
        <f>'Affiliate Tracking'!L220</f>
        <v/>
      </c>
      <c r="D32" s="45">
        <f>'Affiliate Tracking'!M220</f>
        <v>0</v>
      </c>
      <c r="E32" s="34" t="str">
        <f t="shared" si="7"/>
        <v>#DIV/0!</v>
      </c>
      <c r="F32" s="34">
        <f>'Affiliate Tracking'!N220</f>
        <v>0</v>
      </c>
      <c r="G32" s="50">
        <f>'Affiliate Tracking'!O220</f>
        <v>0</v>
      </c>
      <c r="H32" s="1"/>
      <c r="I32" s="1"/>
      <c r="J32" s="67"/>
      <c r="K32" s="68"/>
      <c r="L32" s="1"/>
      <c r="M32" s="1"/>
      <c r="N32" s="1"/>
      <c r="O32" s="1"/>
      <c r="P32" s="1"/>
      <c r="Q32" s="1"/>
      <c r="R32" s="1"/>
      <c r="S32" s="1"/>
      <c r="T32" s="1"/>
      <c r="U32" s="1"/>
      <c r="V32" s="1"/>
      <c r="W32" s="1"/>
      <c r="X32" s="1"/>
    </row>
    <row r="33" ht="15.75" customHeight="1">
      <c r="A33" s="1"/>
      <c r="B33" s="28"/>
      <c r="C33" s="28"/>
      <c r="D33" s="28"/>
      <c r="E33" s="28"/>
      <c r="F33" s="28"/>
      <c r="G33" s="34"/>
      <c r="H33" s="1"/>
      <c r="I33" s="1"/>
      <c r="J33" s="67"/>
      <c r="K33" s="68"/>
      <c r="L33" s="1"/>
      <c r="M33" s="1"/>
      <c r="N33" s="1"/>
      <c r="O33" s="1"/>
      <c r="P33" s="1"/>
      <c r="Q33" s="1"/>
      <c r="R33" s="1"/>
      <c r="S33" s="1"/>
      <c r="T33" s="1"/>
      <c r="U33" s="1"/>
      <c r="V33" s="1"/>
      <c r="W33" s="1"/>
      <c r="X33" s="1"/>
    </row>
    <row r="34" ht="15.75" customHeight="1">
      <c r="A34" s="1"/>
      <c r="B34" s="70" t="s">
        <v>77</v>
      </c>
      <c r="C34" s="71">
        <f t="shared" ref="C34:D34" si="8">SUM(C21:C32)</f>
        <v>4162.5</v>
      </c>
      <c r="D34" s="78">
        <f t="shared" si="8"/>
        <v>1665</v>
      </c>
      <c r="E34" s="71">
        <f>C34/D34</f>
        <v>2.5</v>
      </c>
      <c r="F34" s="71">
        <f>SUM(F21:F32)</f>
        <v>83250</v>
      </c>
      <c r="G34" s="71">
        <f>C34/F34</f>
        <v>0.05</v>
      </c>
      <c r="H34" s="1"/>
      <c r="I34" s="1"/>
      <c r="J34" s="67"/>
      <c r="K34" s="68"/>
      <c r="L34" s="1"/>
      <c r="M34" s="1"/>
      <c r="N34" s="1"/>
      <c r="O34" s="1"/>
      <c r="P34" s="1"/>
      <c r="Q34" s="1"/>
      <c r="R34" s="1"/>
      <c r="S34" s="1"/>
      <c r="T34" s="1"/>
      <c r="U34" s="1"/>
      <c r="V34" s="1"/>
      <c r="W34" s="1"/>
      <c r="X34" s="1"/>
    </row>
    <row r="35" ht="15.75" customHeight="1">
      <c r="A35" s="1"/>
      <c r="B35" s="28"/>
      <c r="C35" s="28"/>
      <c r="D35" s="28"/>
      <c r="E35" s="28"/>
      <c r="F35" s="28"/>
      <c r="G35" s="34"/>
      <c r="H35" s="1"/>
      <c r="I35" s="1"/>
      <c r="J35" s="67"/>
      <c r="K35" s="68"/>
      <c r="L35" s="1"/>
      <c r="M35" s="1"/>
      <c r="N35" s="1"/>
      <c r="O35" s="1"/>
      <c r="P35" s="1"/>
      <c r="Q35" s="1"/>
      <c r="R35" s="1"/>
      <c r="S35" s="1"/>
      <c r="T35" s="1"/>
      <c r="U35" s="1"/>
      <c r="V35" s="1"/>
      <c r="W35" s="1"/>
      <c r="X35" s="1"/>
    </row>
    <row r="36" ht="15.75" customHeight="1">
      <c r="A36" s="1"/>
      <c r="B36" s="28"/>
      <c r="C36" s="28"/>
      <c r="D36" s="28"/>
      <c r="E36" s="28"/>
      <c r="F36" s="28"/>
      <c r="G36" s="34"/>
      <c r="H36" s="1"/>
      <c r="I36" s="1"/>
      <c r="J36" s="67"/>
      <c r="K36" s="68"/>
      <c r="L36" s="1"/>
      <c r="M36" s="1"/>
      <c r="N36" s="1"/>
      <c r="O36" s="1"/>
      <c r="P36" s="1"/>
      <c r="Q36" s="1"/>
      <c r="R36" s="1"/>
      <c r="S36" s="1"/>
      <c r="T36" s="1"/>
      <c r="U36" s="1"/>
      <c r="V36" s="1"/>
      <c r="W36" s="1"/>
      <c r="X36" s="1"/>
    </row>
    <row r="37" ht="15.75" customHeight="1">
      <c r="A37" s="1"/>
      <c r="B37" s="28"/>
      <c r="C37" s="28"/>
      <c r="D37" s="28"/>
      <c r="E37" s="28"/>
      <c r="F37" s="28"/>
      <c r="G37" s="34"/>
      <c r="H37" s="1"/>
      <c r="I37" s="1"/>
      <c r="J37" s="67"/>
      <c r="K37" s="68"/>
      <c r="L37" s="1"/>
      <c r="M37" s="1"/>
      <c r="N37" s="1"/>
      <c r="O37" s="1"/>
      <c r="P37" s="1"/>
      <c r="Q37" s="1"/>
      <c r="R37" s="1"/>
      <c r="S37" s="1"/>
      <c r="T37" s="1"/>
      <c r="U37" s="1"/>
      <c r="V37" s="1"/>
      <c r="W37" s="1"/>
      <c r="X37" s="1"/>
    </row>
    <row r="38" ht="15.75" customHeight="1">
      <c r="A38" s="1"/>
      <c r="B38" s="28"/>
      <c r="C38" s="28"/>
      <c r="D38" s="28"/>
      <c r="E38" s="28"/>
      <c r="F38" s="28"/>
      <c r="G38" s="34"/>
      <c r="H38" s="1"/>
      <c r="I38" s="1"/>
      <c r="J38" s="67"/>
      <c r="K38" s="68"/>
      <c r="L38" s="1"/>
      <c r="M38" s="1"/>
      <c r="N38" s="1"/>
      <c r="O38" s="1"/>
      <c r="P38" s="1"/>
      <c r="Q38" s="1"/>
      <c r="R38" s="1"/>
      <c r="S38" s="1"/>
      <c r="T38" s="1"/>
      <c r="U38" s="1"/>
      <c r="V38" s="1"/>
      <c r="W38" s="1"/>
      <c r="X38" s="1"/>
    </row>
    <row r="39" ht="15.75" customHeight="1">
      <c r="A39" s="1"/>
      <c r="B39" s="28"/>
      <c r="C39" s="28"/>
      <c r="D39" s="28"/>
      <c r="E39" s="28"/>
      <c r="F39" s="28"/>
      <c r="G39" s="34"/>
      <c r="H39" s="1"/>
      <c r="I39" s="1"/>
      <c r="J39" s="67"/>
      <c r="K39" s="68"/>
      <c r="L39" s="1"/>
      <c r="M39" s="1"/>
      <c r="N39" s="1"/>
      <c r="O39" s="1"/>
      <c r="P39" s="1"/>
      <c r="Q39" s="1"/>
      <c r="R39" s="1"/>
      <c r="S39" s="1"/>
      <c r="T39" s="1"/>
      <c r="U39" s="1"/>
      <c r="V39" s="1"/>
      <c r="W39" s="1"/>
      <c r="X39" s="1"/>
    </row>
    <row r="40" ht="15.75" customHeight="1">
      <c r="A40" s="1"/>
      <c r="B40" s="28"/>
      <c r="C40" s="28"/>
      <c r="D40" s="28"/>
      <c r="E40" s="28"/>
      <c r="F40" s="28"/>
      <c r="G40" s="34"/>
      <c r="H40" s="1"/>
      <c r="I40" s="1"/>
      <c r="J40" s="67"/>
      <c r="K40" s="68"/>
      <c r="L40" s="1"/>
      <c r="M40" s="1"/>
      <c r="N40" s="1"/>
      <c r="O40" s="1"/>
      <c r="P40" s="1"/>
      <c r="Q40" s="1"/>
      <c r="R40" s="1"/>
      <c r="S40" s="1"/>
      <c r="T40" s="1"/>
      <c r="U40" s="1"/>
      <c r="V40" s="1"/>
      <c r="W40" s="1"/>
      <c r="X40" s="1"/>
    </row>
    <row r="41" ht="15.75" customHeight="1">
      <c r="A41" s="1"/>
      <c r="B41" s="28"/>
      <c r="C41" s="28"/>
      <c r="D41" s="28"/>
      <c r="E41" s="28"/>
      <c r="F41" s="28"/>
      <c r="G41" s="34"/>
      <c r="H41" s="1"/>
      <c r="I41" s="1"/>
      <c r="J41" s="67"/>
      <c r="K41" s="68"/>
      <c r="L41" s="1"/>
      <c r="M41" s="1"/>
      <c r="N41" s="1"/>
      <c r="O41" s="1"/>
      <c r="P41" s="1"/>
      <c r="Q41" s="1"/>
      <c r="R41" s="1"/>
      <c r="S41" s="1"/>
      <c r="T41" s="1"/>
      <c r="U41" s="1"/>
      <c r="V41" s="1"/>
      <c r="W41" s="1"/>
      <c r="X41" s="1"/>
    </row>
    <row r="42" ht="15.75" customHeight="1">
      <c r="A42" s="1"/>
      <c r="B42" s="28"/>
      <c r="C42" s="28"/>
      <c r="D42" s="28"/>
      <c r="E42" s="28"/>
      <c r="F42" s="28"/>
      <c r="G42" s="34"/>
      <c r="H42" s="1"/>
      <c r="I42" s="1"/>
      <c r="J42" s="67"/>
      <c r="K42" s="68"/>
      <c r="L42" s="1"/>
      <c r="M42" s="1"/>
      <c r="N42" s="1"/>
      <c r="O42" s="1"/>
      <c r="P42" s="1"/>
      <c r="Q42" s="1"/>
      <c r="R42" s="1"/>
      <c r="S42" s="1"/>
      <c r="T42" s="1"/>
      <c r="U42" s="1"/>
      <c r="V42" s="1"/>
      <c r="W42" s="1"/>
      <c r="X42" s="1"/>
    </row>
    <row r="43" ht="15.75" customHeight="1">
      <c r="A43" s="1"/>
      <c r="B43" s="28"/>
      <c r="C43" s="28"/>
      <c r="D43" s="28"/>
      <c r="E43" s="28"/>
      <c r="F43" s="28"/>
      <c r="G43" s="34"/>
      <c r="H43" s="1"/>
      <c r="I43" s="1"/>
      <c r="J43" s="67"/>
      <c r="K43" s="68"/>
      <c r="L43" s="1"/>
      <c r="M43" s="1"/>
      <c r="N43" s="1"/>
      <c r="O43" s="1"/>
      <c r="P43" s="1"/>
      <c r="Q43" s="1"/>
      <c r="R43" s="1"/>
      <c r="S43" s="1"/>
      <c r="T43" s="1"/>
      <c r="U43" s="1"/>
      <c r="V43" s="1"/>
      <c r="W43" s="1"/>
      <c r="X43" s="1"/>
    </row>
    <row r="44" ht="15.75" customHeight="1">
      <c r="A44" s="1"/>
      <c r="B44" s="28"/>
      <c r="C44" s="28"/>
      <c r="D44" s="28"/>
      <c r="E44" s="28"/>
      <c r="F44" s="28"/>
      <c r="G44" s="34"/>
      <c r="H44" s="1"/>
      <c r="I44" s="1"/>
      <c r="J44" s="67"/>
      <c r="K44" s="68"/>
      <c r="L44" s="1"/>
      <c r="M44" s="1"/>
      <c r="N44" s="1"/>
      <c r="O44" s="1"/>
      <c r="P44" s="1"/>
      <c r="Q44" s="1"/>
      <c r="R44" s="1"/>
      <c r="S44" s="1"/>
      <c r="T44" s="1"/>
      <c r="U44" s="1"/>
      <c r="V44" s="1"/>
      <c r="W44" s="1"/>
      <c r="X44" s="1"/>
    </row>
    <row r="45" ht="15.75" customHeight="1">
      <c r="A45" s="1"/>
      <c r="B45" s="28"/>
      <c r="C45" s="28"/>
      <c r="D45" s="28"/>
      <c r="E45" s="28"/>
      <c r="F45" s="28"/>
      <c r="G45" s="34"/>
      <c r="H45" s="1"/>
      <c r="I45" s="1"/>
      <c r="J45" s="67"/>
      <c r="K45" s="68"/>
      <c r="L45" s="1"/>
      <c r="M45" s="1"/>
      <c r="N45" s="1"/>
      <c r="O45" s="1"/>
      <c r="P45" s="1"/>
      <c r="Q45" s="1"/>
      <c r="R45" s="1"/>
      <c r="S45" s="1"/>
      <c r="T45" s="1"/>
      <c r="U45" s="1"/>
      <c r="V45" s="1"/>
      <c r="W45" s="1"/>
      <c r="X45" s="1"/>
    </row>
    <row r="46" ht="15.75" customHeight="1">
      <c r="A46" s="1"/>
      <c r="B46" s="28"/>
      <c r="C46" s="28"/>
      <c r="D46" s="28"/>
      <c r="E46" s="28"/>
      <c r="F46" s="28"/>
      <c r="G46" s="34"/>
      <c r="H46" s="1"/>
      <c r="I46" s="1"/>
      <c r="J46" s="67"/>
      <c r="K46" s="68"/>
      <c r="L46" s="1"/>
      <c r="M46" s="1"/>
      <c r="N46" s="1"/>
      <c r="O46" s="1"/>
      <c r="P46" s="1"/>
      <c r="Q46" s="1"/>
      <c r="R46" s="1"/>
      <c r="S46" s="1"/>
      <c r="T46" s="1"/>
      <c r="U46" s="1"/>
      <c r="V46" s="1"/>
      <c r="W46" s="1"/>
      <c r="X46" s="1"/>
    </row>
    <row r="47" ht="15.75" customHeight="1">
      <c r="A47" s="1"/>
      <c r="B47" s="28"/>
      <c r="C47" s="28"/>
      <c r="D47" s="28"/>
      <c r="E47" s="28"/>
      <c r="F47" s="28"/>
      <c r="G47" s="34"/>
      <c r="H47" s="1"/>
      <c r="I47" s="1"/>
      <c r="J47" s="67"/>
      <c r="K47" s="68"/>
      <c r="L47" s="1"/>
      <c r="M47" s="1"/>
      <c r="N47" s="1"/>
      <c r="O47" s="1"/>
      <c r="P47" s="1"/>
      <c r="Q47" s="1"/>
      <c r="R47" s="1"/>
      <c r="S47" s="1"/>
      <c r="T47" s="1"/>
      <c r="U47" s="1"/>
      <c r="V47" s="1"/>
      <c r="W47" s="1"/>
      <c r="X47" s="1"/>
    </row>
    <row r="48" ht="15.75" customHeight="1">
      <c r="A48" s="1"/>
      <c r="B48" s="28"/>
      <c r="C48" s="28"/>
      <c r="D48" s="28"/>
      <c r="E48" s="28"/>
      <c r="F48" s="28"/>
      <c r="G48" s="34"/>
      <c r="H48" s="1"/>
      <c r="I48" s="1"/>
      <c r="J48" s="67"/>
      <c r="K48" s="68"/>
      <c r="L48" s="1"/>
      <c r="M48" s="1"/>
      <c r="N48" s="1"/>
      <c r="O48" s="1"/>
      <c r="P48" s="1"/>
      <c r="Q48" s="1"/>
      <c r="R48" s="1"/>
      <c r="S48" s="1"/>
      <c r="T48" s="1"/>
      <c r="U48" s="1"/>
      <c r="V48" s="1"/>
      <c r="W48" s="1"/>
      <c r="X48" s="1"/>
    </row>
    <row r="49" ht="15.75" customHeight="1">
      <c r="A49" s="1"/>
      <c r="B49" s="28"/>
      <c r="C49" s="28"/>
      <c r="D49" s="28"/>
      <c r="E49" s="28"/>
      <c r="F49" s="28"/>
      <c r="G49" s="34"/>
      <c r="H49" s="1"/>
      <c r="I49" s="1"/>
      <c r="J49" s="67"/>
      <c r="K49" s="68"/>
      <c r="L49" s="1"/>
      <c r="M49" s="1"/>
      <c r="N49" s="1"/>
      <c r="O49" s="1"/>
      <c r="P49" s="1"/>
      <c r="Q49" s="1"/>
      <c r="R49" s="1"/>
      <c r="S49" s="1"/>
      <c r="T49" s="1"/>
      <c r="U49" s="1"/>
      <c r="V49" s="1"/>
      <c r="W49" s="1"/>
      <c r="X49" s="1"/>
    </row>
    <row r="50" ht="15.75" customHeight="1">
      <c r="A50" s="1"/>
      <c r="B50" s="28"/>
      <c r="C50" s="28"/>
      <c r="D50" s="28"/>
      <c r="E50" s="28"/>
      <c r="F50" s="28"/>
      <c r="G50" s="34"/>
      <c r="H50" s="1"/>
      <c r="I50" s="1"/>
      <c r="J50" s="67"/>
      <c r="K50" s="68"/>
      <c r="L50" s="1"/>
      <c r="M50" s="1"/>
      <c r="N50" s="1"/>
      <c r="O50" s="1"/>
      <c r="P50" s="1"/>
      <c r="Q50" s="1"/>
      <c r="R50" s="1"/>
      <c r="S50" s="1"/>
      <c r="T50" s="1"/>
      <c r="U50" s="1"/>
      <c r="V50" s="1"/>
      <c r="W50" s="1"/>
      <c r="X50" s="1"/>
    </row>
    <row r="51" ht="15.75" customHeight="1">
      <c r="A51" s="1"/>
      <c r="B51" s="28"/>
      <c r="C51" s="28"/>
      <c r="D51" s="28"/>
      <c r="E51" s="28"/>
      <c r="F51" s="28"/>
      <c r="G51" s="34"/>
      <c r="H51" s="1"/>
      <c r="I51" s="1"/>
      <c r="J51" s="67"/>
      <c r="K51" s="68"/>
      <c r="L51" s="1"/>
      <c r="M51" s="1"/>
      <c r="N51" s="1"/>
      <c r="O51" s="1"/>
      <c r="P51" s="1"/>
      <c r="Q51" s="1"/>
      <c r="R51" s="1"/>
      <c r="S51" s="1"/>
      <c r="T51" s="1"/>
      <c r="U51" s="1"/>
      <c r="V51" s="1"/>
      <c r="W51" s="1"/>
      <c r="X51" s="1"/>
    </row>
    <row r="52" ht="15.75" customHeight="1">
      <c r="A52" s="1"/>
      <c r="B52" s="28"/>
      <c r="C52" s="28"/>
      <c r="D52" s="28"/>
      <c r="E52" s="28"/>
      <c r="F52" s="28"/>
      <c r="G52" s="34"/>
      <c r="H52" s="1"/>
      <c r="I52" s="1"/>
      <c r="J52" s="67"/>
      <c r="K52" s="68"/>
      <c r="L52" s="1"/>
      <c r="M52" s="1"/>
      <c r="N52" s="1"/>
      <c r="O52" s="1"/>
      <c r="P52" s="1"/>
      <c r="Q52" s="1"/>
      <c r="R52" s="1"/>
      <c r="S52" s="1"/>
      <c r="T52" s="1"/>
      <c r="U52" s="1"/>
      <c r="V52" s="1"/>
      <c r="W52" s="1"/>
      <c r="X52" s="1"/>
    </row>
    <row r="53" ht="15.75" customHeight="1">
      <c r="A53" s="1"/>
      <c r="B53" s="28"/>
      <c r="C53" s="28"/>
      <c r="D53" s="28"/>
      <c r="E53" s="28"/>
      <c r="F53" s="28"/>
      <c r="G53" s="34"/>
      <c r="H53" s="1"/>
      <c r="I53" s="1"/>
      <c r="J53" s="67"/>
      <c r="K53" s="68"/>
      <c r="L53" s="1"/>
      <c r="M53" s="1"/>
      <c r="N53" s="1"/>
      <c r="O53" s="1"/>
      <c r="P53" s="1"/>
      <c r="Q53" s="1"/>
      <c r="R53" s="1"/>
      <c r="S53" s="1"/>
      <c r="T53" s="1"/>
      <c r="U53" s="1"/>
      <c r="V53" s="1"/>
      <c r="W53" s="1"/>
      <c r="X53" s="1"/>
    </row>
    <row r="54" ht="15.75" customHeight="1">
      <c r="A54" s="1"/>
      <c r="B54" s="28"/>
      <c r="C54" s="28"/>
      <c r="D54" s="28"/>
      <c r="E54" s="28"/>
      <c r="F54" s="28"/>
      <c r="G54" s="34"/>
      <c r="H54" s="1"/>
      <c r="I54" s="1"/>
      <c r="J54" s="67"/>
      <c r="K54" s="68"/>
      <c r="L54" s="1"/>
      <c r="M54" s="1"/>
      <c r="N54" s="1"/>
      <c r="O54" s="1"/>
      <c r="P54" s="1"/>
      <c r="Q54" s="1"/>
      <c r="R54" s="1"/>
      <c r="S54" s="1"/>
      <c r="T54" s="1"/>
      <c r="U54" s="1"/>
      <c r="V54" s="1"/>
      <c r="W54" s="1"/>
      <c r="X54" s="1"/>
    </row>
    <row r="55" ht="15.75" customHeight="1">
      <c r="A55" s="1"/>
      <c r="B55" s="28"/>
      <c r="C55" s="28"/>
      <c r="D55" s="28"/>
      <c r="E55" s="28"/>
      <c r="F55" s="28"/>
      <c r="G55" s="34"/>
      <c r="H55" s="1"/>
      <c r="I55" s="1"/>
      <c r="J55" s="67"/>
      <c r="K55" s="68"/>
      <c r="L55" s="1"/>
      <c r="M55" s="1"/>
      <c r="N55" s="1"/>
      <c r="O55" s="1"/>
      <c r="P55" s="1"/>
      <c r="Q55" s="1"/>
      <c r="R55" s="1"/>
      <c r="S55" s="1"/>
      <c r="T55" s="1"/>
      <c r="U55" s="1"/>
      <c r="V55" s="1"/>
      <c r="W55" s="1"/>
      <c r="X55" s="1"/>
    </row>
    <row r="56" ht="15.75" customHeight="1">
      <c r="A56" s="1"/>
      <c r="B56" s="28"/>
      <c r="C56" s="28"/>
      <c r="D56" s="28"/>
      <c r="E56" s="28"/>
      <c r="F56" s="28"/>
      <c r="G56" s="34"/>
      <c r="H56" s="1"/>
      <c r="I56" s="1"/>
      <c r="J56" s="67"/>
      <c r="K56" s="68"/>
      <c r="L56" s="1"/>
      <c r="M56" s="1"/>
      <c r="N56" s="1"/>
      <c r="O56" s="1"/>
      <c r="P56" s="1"/>
      <c r="Q56" s="1"/>
      <c r="R56" s="1"/>
      <c r="S56" s="1"/>
      <c r="T56" s="1"/>
      <c r="U56" s="1"/>
      <c r="V56" s="1"/>
      <c r="W56" s="1"/>
      <c r="X56" s="1"/>
    </row>
    <row r="57" ht="15.75" customHeight="1">
      <c r="A57" s="1"/>
      <c r="B57" s="28"/>
      <c r="C57" s="28"/>
      <c r="D57" s="28"/>
      <c r="E57" s="28"/>
      <c r="F57" s="28"/>
      <c r="G57" s="34"/>
      <c r="H57" s="1"/>
      <c r="I57" s="1"/>
      <c r="J57" s="67"/>
      <c r="K57" s="68"/>
      <c r="L57" s="1"/>
      <c r="M57" s="1"/>
      <c r="N57" s="1"/>
      <c r="O57" s="1"/>
      <c r="P57" s="1"/>
      <c r="Q57" s="1"/>
      <c r="R57" s="1"/>
      <c r="S57" s="1"/>
      <c r="T57" s="1"/>
      <c r="U57" s="1"/>
      <c r="V57" s="1"/>
      <c r="W57" s="1"/>
      <c r="X57" s="1"/>
    </row>
    <row r="58" ht="15.75" customHeight="1">
      <c r="A58" s="1"/>
      <c r="B58" s="28"/>
      <c r="C58" s="28"/>
      <c r="D58" s="28"/>
      <c r="E58" s="28"/>
      <c r="F58" s="28"/>
      <c r="G58" s="34"/>
      <c r="H58" s="1"/>
      <c r="I58" s="1"/>
      <c r="J58" s="67"/>
      <c r="K58" s="68"/>
      <c r="L58" s="1"/>
      <c r="M58" s="1"/>
      <c r="N58" s="1"/>
      <c r="O58" s="1"/>
      <c r="P58" s="1"/>
      <c r="Q58" s="1"/>
      <c r="R58" s="1"/>
      <c r="S58" s="1"/>
      <c r="T58" s="1"/>
      <c r="U58" s="1"/>
      <c r="V58" s="1"/>
      <c r="W58" s="1"/>
      <c r="X58" s="1"/>
    </row>
    <row r="59" ht="15.75" customHeight="1">
      <c r="A59" s="1"/>
      <c r="B59" s="28"/>
      <c r="C59" s="28"/>
      <c r="D59" s="28"/>
      <c r="E59" s="28"/>
      <c r="F59" s="28"/>
      <c r="G59" s="34"/>
      <c r="H59" s="1"/>
      <c r="I59" s="1"/>
      <c r="J59" s="67"/>
      <c r="K59" s="68"/>
      <c r="L59" s="1"/>
      <c r="M59" s="1"/>
      <c r="N59" s="1"/>
      <c r="O59" s="1"/>
      <c r="P59" s="1"/>
      <c r="Q59" s="1"/>
      <c r="R59" s="1"/>
      <c r="S59" s="1"/>
      <c r="T59" s="1"/>
      <c r="U59" s="1"/>
      <c r="V59" s="1"/>
      <c r="W59" s="1"/>
      <c r="X59" s="1"/>
    </row>
    <row r="60" ht="15.75" customHeight="1">
      <c r="A60" s="1"/>
      <c r="B60" s="28"/>
      <c r="C60" s="28"/>
      <c r="D60" s="28"/>
      <c r="E60" s="28"/>
      <c r="F60" s="28"/>
      <c r="G60" s="34"/>
      <c r="H60" s="1"/>
      <c r="I60" s="1"/>
      <c r="J60" s="67"/>
      <c r="K60" s="68"/>
      <c r="L60" s="1"/>
      <c r="M60" s="1"/>
      <c r="N60" s="1"/>
      <c r="O60" s="1"/>
      <c r="P60" s="1"/>
      <c r="Q60" s="1"/>
      <c r="R60" s="1"/>
      <c r="S60" s="1"/>
      <c r="T60" s="1"/>
      <c r="U60" s="1"/>
      <c r="V60" s="1"/>
      <c r="W60" s="1"/>
      <c r="X60" s="1"/>
    </row>
    <row r="61" ht="15.75" customHeight="1">
      <c r="A61" s="1"/>
      <c r="B61" s="28"/>
      <c r="C61" s="28"/>
      <c r="D61" s="28"/>
      <c r="E61" s="28"/>
      <c r="F61" s="28"/>
      <c r="G61" s="34"/>
      <c r="H61" s="1"/>
      <c r="I61" s="1"/>
      <c r="J61" s="67"/>
      <c r="K61" s="68"/>
      <c r="L61" s="1"/>
      <c r="M61" s="1"/>
      <c r="N61" s="1"/>
      <c r="O61" s="1"/>
      <c r="P61" s="1"/>
      <c r="Q61" s="1"/>
      <c r="R61" s="1"/>
      <c r="S61" s="1"/>
      <c r="T61" s="1"/>
      <c r="U61" s="1"/>
      <c r="V61" s="1"/>
      <c r="W61" s="1"/>
      <c r="X61" s="1"/>
    </row>
    <row r="62" ht="15.75" customHeight="1">
      <c r="A62" s="1"/>
      <c r="B62" s="28"/>
      <c r="C62" s="28"/>
      <c r="D62" s="28"/>
      <c r="E62" s="28"/>
      <c r="F62" s="28"/>
      <c r="G62" s="34"/>
      <c r="H62" s="1"/>
      <c r="I62" s="1"/>
      <c r="J62" s="67"/>
      <c r="K62" s="68"/>
      <c r="L62" s="1"/>
      <c r="M62" s="1"/>
      <c r="N62" s="1"/>
      <c r="O62" s="1"/>
      <c r="P62" s="1"/>
      <c r="Q62" s="1"/>
      <c r="R62" s="1"/>
      <c r="S62" s="1"/>
      <c r="T62" s="1"/>
      <c r="U62" s="1"/>
      <c r="V62" s="1"/>
      <c r="W62" s="1"/>
      <c r="X62" s="1"/>
    </row>
    <row r="63" ht="15.75" customHeight="1">
      <c r="A63" s="1"/>
      <c r="B63" s="28"/>
      <c r="C63" s="28"/>
      <c r="D63" s="28"/>
      <c r="E63" s="28"/>
      <c r="F63" s="28"/>
      <c r="G63" s="34"/>
      <c r="H63" s="1"/>
      <c r="I63" s="1"/>
      <c r="J63" s="67"/>
      <c r="K63" s="68"/>
      <c r="L63" s="1"/>
      <c r="M63" s="1"/>
      <c r="N63" s="1"/>
      <c r="O63" s="1"/>
      <c r="P63" s="1"/>
      <c r="Q63" s="1"/>
      <c r="R63" s="1"/>
      <c r="S63" s="1"/>
      <c r="T63" s="1"/>
      <c r="U63" s="1"/>
      <c r="V63" s="1"/>
      <c r="W63" s="1"/>
      <c r="X63" s="1"/>
    </row>
    <row r="64" ht="15.75" customHeight="1">
      <c r="A64" s="1"/>
      <c r="B64" s="28"/>
      <c r="C64" s="28"/>
      <c r="D64" s="28"/>
      <c r="E64" s="28"/>
      <c r="F64" s="28"/>
      <c r="G64" s="34"/>
      <c r="H64" s="1"/>
      <c r="I64" s="1"/>
      <c r="J64" s="67"/>
      <c r="K64" s="68"/>
      <c r="L64" s="1"/>
      <c r="M64" s="1"/>
      <c r="N64" s="1"/>
      <c r="O64" s="1"/>
      <c r="P64" s="1"/>
      <c r="Q64" s="1"/>
      <c r="R64" s="1"/>
      <c r="S64" s="1"/>
      <c r="T64" s="1"/>
      <c r="U64" s="1"/>
      <c r="V64" s="1"/>
      <c r="W64" s="1"/>
      <c r="X64" s="1"/>
    </row>
    <row r="65" ht="15.75" customHeight="1">
      <c r="A65" s="1"/>
      <c r="B65" s="28"/>
      <c r="C65" s="28"/>
      <c r="D65" s="28"/>
      <c r="E65" s="28"/>
      <c r="F65" s="28"/>
      <c r="G65" s="34"/>
      <c r="H65" s="1"/>
      <c r="I65" s="1"/>
      <c r="J65" s="67"/>
      <c r="K65" s="68"/>
      <c r="L65" s="1"/>
      <c r="M65" s="1"/>
      <c r="N65" s="1"/>
      <c r="O65" s="1"/>
      <c r="P65" s="1"/>
      <c r="Q65" s="1"/>
      <c r="R65" s="1"/>
      <c r="S65" s="1"/>
      <c r="T65" s="1"/>
      <c r="U65" s="1"/>
      <c r="V65" s="1"/>
      <c r="W65" s="1"/>
      <c r="X65" s="1"/>
    </row>
    <row r="66" ht="15.75" customHeight="1">
      <c r="A66" s="1"/>
      <c r="B66" s="28"/>
      <c r="C66" s="28"/>
      <c r="D66" s="28"/>
      <c r="E66" s="28"/>
      <c r="F66" s="28"/>
      <c r="G66" s="34"/>
      <c r="H66" s="1"/>
      <c r="I66" s="1"/>
      <c r="J66" s="67"/>
      <c r="K66" s="68"/>
      <c r="L66" s="1"/>
      <c r="M66" s="1"/>
      <c r="N66" s="1"/>
      <c r="O66" s="1"/>
      <c r="P66" s="1"/>
      <c r="Q66" s="1"/>
      <c r="R66" s="1"/>
      <c r="S66" s="1"/>
      <c r="T66" s="1"/>
      <c r="U66" s="1"/>
      <c r="V66" s="1"/>
      <c r="W66" s="1"/>
      <c r="X66" s="1"/>
    </row>
    <row r="67" ht="15.75" customHeight="1">
      <c r="A67" s="1"/>
      <c r="B67" s="28"/>
      <c r="C67" s="28"/>
      <c r="D67" s="28"/>
      <c r="E67" s="28"/>
      <c r="F67" s="28"/>
      <c r="G67" s="34"/>
      <c r="H67" s="1"/>
      <c r="I67" s="1"/>
      <c r="J67" s="67"/>
      <c r="K67" s="68"/>
      <c r="L67" s="1"/>
      <c r="M67" s="1"/>
      <c r="N67" s="1"/>
      <c r="O67" s="1"/>
      <c r="P67" s="1"/>
      <c r="Q67" s="1"/>
      <c r="R67" s="1"/>
      <c r="S67" s="1"/>
      <c r="T67" s="1"/>
      <c r="U67" s="1"/>
      <c r="V67" s="1"/>
      <c r="W67" s="1"/>
      <c r="X67" s="1"/>
    </row>
    <row r="68" ht="15.75" customHeight="1">
      <c r="A68" s="1"/>
      <c r="B68" s="28"/>
      <c r="C68" s="28"/>
      <c r="D68" s="28"/>
      <c r="E68" s="28"/>
      <c r="F68" s="28"/>
      <c r="G68" s="34"/>
      <c r="H68" s="1"/>
      <c r="I68" s="1"/>
      <c r="J68" s="67"/>
      <c r="K68" s="68"/>
      <c r="L68" s="1"/>
      <c r="M68" s="1"/>
      <c r="N68" s="1"/>
      <c r="O68" s="1"/>
      <c r="P68" s="1"/>
      <c r="Q68" s="1"/>
      <c r="R68" s="1"/>
      <c r="S68" s="1"/>
      <c r="T68" s="1"/>
      <c r="U68" s="1"/>
      <c r="V68" s="1"/>
      <c r="W68" s="1"/>
      <c r="X68" s="1"/>
    </row>
    <row r="69" ht="15.75" customHeight="1">
      <c r="A69" s="1"/>
      <c r="B69" s="28"/>
      <c r="C69" s="28"/>
      <c r="D69" s="28"/>
      <c r="E69" s="28"/>
      <c r="F69" s="28"/>
      <c r="G69" s="34"/>
      <c r="H69" s="1"/>
      <c r="I69" s="1"/>
      <c r="J69" s="67"/>
      <c r="K69" s="68"/>
      <c r="L69" s="1"/>
      <c r="M69" s="1"/>
      <c r="N69" s="1"/>
      <c r="O69" s="1"/>
      <c r="P69" s="1"/>
      <c r="Q69" s="1"/>
      <c r="R69" s="1"/>
      <c r="S69" s="1"/>
      <c r="T69" s="1"/>
      <c r="U69" s="1"/>
      <c r="V69" s="1"/>
      <c r="W69" s="1"/>
      <c r="X69" s="1"/>
    </row>
    <row r="70" ht="15.75" customHeight="1">
      <c r="A70" s="1"/>
      <c r="B70" s="28"/>
      <c r="C70" s="28"/>
      <c r="D70" s="28"/>
      <c r="E70" s="28"/>
      <c r="F70" s="28"/>
      <c r="G70" s="34"/>
      <c r="H70" s="1"/>
      <c r="I70" s="1"/>
      <c r="J70" s="67"/>
      <c r="K70" s="68"/>
      <c r="L70" s="1"/>
      <c r="M70" s="1"/>
      <c r="N70" s="1"/>
      <c r="O70" s="1"/>
      <c r="P70" s="1"/>
      <c r="Q70" s="1"/>
      <c r="R70" s="1"/>
      <c r="S70" s="1"/>
      <c r="T70" s="1"/>
      <c r="U70" s="1"/>
      <c r="V70" s="1"/>
      <c r="W70" s="1"/>
      <c r="X70" s="1"/>
    </row>
    <row r="71" ht="15.75" customHeight="1">
      <c r="A71" s="1"/>
      <c r="B71" s="28"/>
      <c r="C71" s="28"/>
      <c r="D71" s="28"/>
      <c r="E71" s="28"/>
      <c r="F71" s="28"/>
      <c r="G71" s="34"/>
      <c r="H71" s="1"/>
      <c r="I71" s="1"/>
      <c r="J71" s="67"/>
      <c r="K71" s="68"/>
      <c r="L71" s="1"/>
      <c r="M71" s="1"/>
      <c r="N71" s="1"/>
      <c r="O71" s="1"/>
      <c r="P71" s="1"/>
      <c r="Q71" s="1"/>
      <c r="R71" s="1"/>
      <c r="S71" s="1"/>
      <c r="T71" s="1"/>
      <c r="U71" s="1"/>
      <c r="V71" s="1"/>
      <c r="W71" s="1"/>
      <c r="X71" s="1"/>
    </row>
    <row r="72" ht="15.75" customHeight="1">
      <c r="A72" s="1"/>
      <c r="B72" s="28"/>
      <c r="C72" s="28"/>
      <c r="D72" s="28"/>
      <c r="E72" s="28"/>
      <c r="F72" s="28"/>
      <c r="G72" s="34"/>
      <c r="H72" s="1"/>
      <c r="I72" s="1"/>
      <c r="J72" s="67"/>
      <c r="K72" s="68"/>
      <c r="L72" s="1"/>
      <c r="M72" s="1"/>
      <c r="N72" s="1"/>
      <c r="O72" s="1"/>
      <c r="P72" s="1"/>
      <c r="Q72" s="1"/>
      <c r="R72" s="1"/>
      <c r="S72" s="1"/>
      <c r="T72" s="1"/>
      <c r="U72" s="1"/>
      <c r="V72" s="1"/>
      <c r="W72" s="1"/>
      <c r="X72" s="1"/>
    </row>
    <row r="73" ht="15.75" customHeight="1">
      <c r="A73" s="1"/>
      <c r="B73" s="28"/>
      <c r="C73" s="28"/>
      <c r="D73" s="28"/>
      <c r="E73" s="28"/>
      <c r="F73" s="28"/>
      <c r="G73" s="34"/>
      <c r="H73" s="1"/>
      <c r="I73" s="1"/>
      <c r="J73" s="67"/>
      <c r="K73" s="68"/>
      <c r="L73" s="1"/>
      <c r="M73" s="1"/>
      <c r="N73" s="1"/>
      <c r="O73" s="1"/>
      <c r="P73" s="1"/>
      <c r="Q73" s="1"/>
      <c r="R73" s="1"/>
      <c r="S73" s="1"/>
      <c r="T73" s="1"/>
      <c r="U73" s="1"/>
      <c r="V73" s="1"/>
      <c r="W73" s="1"/>
      <c r="X73" s="1"/>
    </row>
    <row r="74" ht="15.75" customHeight="1">
      <c r="A74" s="1"/>
      <c r="B74" s="28"/>
      <c r="C74" s="28"/>
      <c r="D74" s="28"/>
      <c r="E74" s="28"/>
      <c r="F74" s="28"/>
      <c r="G74" s="34"/>
      <c r="H74" s="1"/>
      <c r="I74" s="1"/>
      <c r="J74" s="67"/>
      <c r="K74" s="68"/>
      <c r="L74" s="1"/>
      <c r="M74" s="1"/>
      <c r="N74" s="1"/>
      <c r="O74" s="1"/>
      <c r="P74" s="1"/>
      <c r="Q74" s="1"/>
      <c r="R74" s="1"/>
      <c r="S74" s="1"/>
      <c r="T74" s="1"/>
      <c r="U74" s="1"/>
      <c r="V74" s="1"/>
      <c r="W74" s="1"/>
      <c r="X74" s="1"/>
    </row>
    <row r="75" ht="15.75" customHeight="1">
      <c r="A75" s="1"/>
      <c r="B75" s="28"/>
      <c r="C75" s="28"/>
      <c r="D75" s="28"/>
      <c r="E75" s="28"/>
      <c r="F75" s="28"/>
      <c r="G75" s="34"/>
      <c r="H75" s="1"/>
      <c r="I75" s="1"/>
      <c r="J75" s="67"/>
      <c r="K75" s="68"/>
      <c r="L75" s="1"/>
      <c r="M75" s="1"/>
      <c r="N75" s="1"/>
      <c r="O75" s="1"/>
      <c r="P75" s="1"/>
      <c r="Q75" s="1"/>
      <c r="R75" s="1"/>
      <c r="S75" s="1"/>
      <c r="T75" s="1"/>
      <c r="U75" s="1"/>
      <c r="V75" s="1"/>
      <c r="W75" s="1"/>
      <c r="X75" s="1"/>
    </row>
    <row r="76" ht="15.75" customHeight="1">
      <c r="A76" s="1"/>
      <c r="B76" s="28"/>
      <c r="C76" s="28"/>
      <c r="D76" s="28"/>
      <c r="E76" s="28"/>
      <c r="F76" s="28"/>
      <c r="G76" s="34"/>
      <c r="H76" s="1"/>
      <c r="I76" s="1"/>
      <c r="J76" s="67"/>
      <c r="K76" s="68"/>
      <c r="L76" s="1"/>
      <c r="M76" s="1"/>
      <c r="N76" s="1"/>
      <c r="O76" s="1"/>
      <c r="P76" s="1"/>
      <c r="Q76" s="1"/>
      <c r="R76" s="1"/>
      <c r="S76" s="1"/>
      <c r="T76" s="1"/>
      <c r="U76" s="1"/>
      <c r="V76" s="1"/>
      <c r="W76" s="1"/>
      <c r="X76" s="1"/>
    </row>
    <row r="77" ht="15.75" customHeight="1">
      <c r="A77" s="1"/>
      <c r="B77" s="28"/>
      <c r="C77" s="28"/>
      <c r="D77" s="28"/>
      <c r="E77" s="28"/>
      <c r="F77" s="28"/>
      <c r="G77" s="34"/>
      <c r="H77" s="1"/>
      <c r="I77" s="1"/>
      <c r="J77" s="67"/>
      <c r="K77" s="68"/>
      <c r="L77" s="1"/>
      <c r="M77" s="1"/>
      <c r="N77" s="1"/>
      <c r="O77" s="1"/>
      <c r="P77" s="1"/>
      <c r="Q77" s="1"/>
      <c r="R77" s="1"/>
      <c r="S77" s="1"/>
      <c r="T77" s="1"/>
      <c r="U77" s="1"/>
      <c r="V77" s="1"/>
      <c r="W77" s="1"/>
      <c r="X77" s="1"/>
    </row>
    <row r="78" ht="15.75" customHeight="1">
      <c r="A78" s="1"/>
      <c r="B78" s="28"/>
      <c r="C78" s="28"/>
      <c r="D78" s="28"/>
      <c r="E78" s="28"/>
      <c r="F78" s="28"/>
      <c r="G78" s="34"/>
      <c r="H78" s="1"/>
      <c r="I78" s="1"/>
      <c r="J78" s="67"/>
      <c r="K78" s="68"/>
      <c r="L78" s="1"/>
      <c r="M78" s="1"/>
      <c r="N78" s="1"/>
      <c r="O78" s="1"/>
      <c r="P78" s="1"/>
      <c r="Q78" s="1"/>
      <c r="R78" s="1"/>
      <c r="S78" s="1"/>
      <c r="T78" s="1"/>
      <c r="U78" s="1"/>
      <c r="V78" s="1"/>
      <c r="W78" s="1"/>
      <c r="X78" s="1"/>
    </row>
    <row r="79" ht="15.75" customHeight="1">
      <c r="A79" s="1"/>
      <c r="B79" s="28"/>
      <c r="C79" s="28"/>
      <c r="D79" s="28"/>
      <c r="E79" s="28"/>
      <c r="F79" s="28"/>
      <c r="G79" s="34"/>
      <c r="H79" s="1"/>
      <c r="I79" s="1"/>
      <c r="J79" s="67"/>
      <c r="K79" s="68"/>
      <c r="L79" s="1"/>
      <c r="M79" s="1"/>
      <c r="N79" s="1"/>
      <c r="O79" s="1"/>
      <c r="P79" s="1"/>
      <c r="Q79" s="1"/>
      <c r="R79" s="1"/>
      <c r="S79" s="1"/>
      <c r="T79" s="1"/>
      <c r="U79" s="1"/>
      <c r="V79" s="1"/>
      <c r="W79" s="1"/>
      <c r="X79" s="1"/>
    </row>
    <row r="80" ht="15.75" customHeight="1">
      <c r="A80" s="1"/>
      <c r="B80" s="28"/>
      <c r="C80" s="28"/>
      <c r="D80" s="28"/>
      <c r="E80" s="28"/>
      <c r="F80" s="28"/>
      <c r="G80" s="34"/>
      <c r="H80" s="1"/>
      <c r="I80" s="1"/>
      <c r="J80" s="67"/>
      <c r="K80" s="68"/>
      <c r="L80" s="1"/>
      <c r="M80" s="1"/>
      <c r="N80" s="1"/>
      <c r="O80" s="1"/>
      <c r="P80" s="1"/>
      <c r="Q80" s="1"/>
      <c r="R80" s="1"/>
      <c r="S80" s="1"/>
      <c r="T80" s="1"/>
      <c r="U80" s="1"/>
      <c r="V80" s="1"/>
      <c r="W80" s="1"/>
      <c r="X80" s="1"/>
    </row>
    <row r="81" ht="15.75" customHeight="1">
      <c r="A81" s="1"/>
      <c r="B81" s="28"/>
      <c r="C81" s="28"/>
      <c r="D81" s="28"/>
      <c r="E81" s="28"/>
      <c r="F81" s="28"/>
      <c r="G81" s="34"/>
      <c r="H81" s="1"/>
      <c r="I81" s="1"/>
      <c r="J81" s="67"/>
      <c r="K81" s="68"/>
      <c r="L81" s="1"/>
      <c r="M81" s="1"/>
      <c r="N81" s="1"/>
      <c r="O81" s="1"/>
      <c r="P81" s="1"/>
      <c r="Q81" s="1"/>
      <c r="R81" s="1"/>
      <c r="S81" s="1"/>
      <c r="T81" s="1"/>
      <c r="U81" s="1"/>
      <c r="V81" s="1"/>
      <c r="W81" s="1"/>
      <c r="X81" s="1"/>
    </row>
    <row r="82" ht="15.75" customHeight="1">
      <c r="A82" s="1"/>
      <c r="B82" s="28"/>
      <c r="C82" s="28"/>
      <c r="D82" s="28"/>
      <c r="E82" s="28"/>
      <c r="F82" s="28"/>
      <c r="G82" s="34"/>
      <c r="H82" s="1"/>
      <c r="I82" s="1"/>
      <c r="J82" s="67"/>
      <c r="K82" s="68"/>
      <c r="L82" s="1"/>
      <c r="M82" s="1"/>
      <c r="N82" s="1"/>
      <c r="O82" s="1"/>
      <c r="P82" s="1"/>
      <c r="Q82" s="1"/>
      <c r="R82" s="1"/>
      <c r="S82" s="1"/>
      <c r="T82" s="1"/>
      <c r="U82" s="1"/>
      <c r="V82" s="1"/>
      <c r="W82" s="1"/>
      <c r="X82" s="1"/>
    </row>
    <row r="83" ht="15.75" customHeight="1">
      <c r="A83" s="1"/>
      <c r="B83" s="28"/>
      <c r="C83" s="28"/>
      <c r="D83" s="28"/>
      <c r="E83" s="28"/>
      <c r="F83" s="28"/>
      <c r="G83" s="34"/>
      <c r="H83" s="1"/>
      <c r="I83" s="1"/>
      <c r="J83" s="67"/>
      <c r="K83" s="68"/>
      <c r="L83" s="1"/>
      <c r="M83" s="1"/>
      <c r="N83" s="1"/>
      <c r="O83" s="1"/>
      <c r="P83" s="1"/>
      <c r="Q83" s="1"/>
      <c r="R83" s="1"/>
      <c r="S83" s="1"/>
      <c r="T83" s="1"/>
      <c r="U83" s="1"/>
      <c r="V83" s="1"/>
      <c r="W83" s="1"/>
      <c r="X83" s="1"/>
    </row>
    <row r="84" ht="15.75" customHeight="1">
      <c r="A84" s="1"/>
      <c r="B84" s="28"/>
      <c r="C84" s="28"/>
      <c r="D84" s="28"/>
      <c r="E84" s="28"/>
      <c r="F84" s="28"/>
      <c r="G84" s="34"/>
      <c r="H84" s="1"/>
      <c r="I84" s="1"/>
      <c r="J84" s="67"/>
      <c r="K84" s="68"/>
      <c r="L84" s="1"/>
      <c r="M84" s="1"/>
      <c r="N84" s="1"/>
      <c r="O84" s="1"/>
      <c r="P84" s="1"/>
      <c r="Q84" s="1"/>
      <c r="R84" s="1"/>
      <c r="S84" s="1"/>
      <c r="T84" s="1"/>
      <c r="U84" s="1"/>
      <c r="V84" s="1"/>
      <c r="W84" s="1"/>
      <c r="X84" s="1"/>
    </row>
    <row r="85" ht="15.75" customHeight="1">
      <c r="A85" s="1"/>
      <c r="B85" s="28"/>
      <c r="C85" s="28"/>
      <c r="D85" s="28"/>
      <c r="E85" s="28"/>
      <c r="F85" s="28"/>
      <c r="G85" s="34"/>
      <c r="H85" s="1"/>
      <c r="I85" s="1"/>
      <c r="J85" s="67"/>
      <c r="K85" s="68"/>
      <c r="L85" s="1"/>
      <c r="M85" s="1"/>
      <c r="N85" s="1"/>
      <c r="O85" s="1"/>
      <c r="P85" s="1"/>
      <c r="Q85" s="1"/>
      <c r="R85" s="1"/>
      <c r="S85" s="1"/>
      <c r="T85" s="1"/>
      <c r="U85" s="1"/>
      <c r="V85" s="1"/>
      <c r="W85" s="1"/>
      <c r="X85" s="1"/>
    </row>
    <row r="86" ht="15.75" customHeight="1">
      <c r="A86" s="1"/>
      <c r="B86" s="28"/>
      <c r="C86" s="28"/>
      <c r="D86" s="28"/>
      <c r="E86" s="28"/>
      <c r="F86" s="28"/>
      <c r="G86" s="34"/>
      <c r="H86" s="1"/>
      <c r="I86" s="1"/>
      <c r="J86" s="67"/>
      <c r="K86" s="68"/>
      <c r="L86" s="1"/>
      <c r="M86" s="1"/>
      <c r="N86" s="1"/>
      <c r="O86" s="1"/>
      <c r="P86" s="1"/>
      <c r="Q86" s="1"/>
      <c r="R86" s="1"/>
      <c r="S86" s="1"/>
      <c r="T86" s="1"/>
      <c r="U86" s="1"/>
      <c r="V86" s="1"/>
      <c r="W86" s="1"/>
      <c r="X86" s="1"/>
    </row>
    <row r="87" ht="15.75" customHeight="1">
      <c r="A87" s="1"/>
      <c r="B87" s="28"/>
      <c r="C87" s="28"/>
      <c r="D87" s="28"/>
      <c r="E87" s="28"/>
      <c r="F87" s="28"/>
      <c r="G87" s="34"/>
      <c r="H87" s="1"/>
      <c r="I87" s="1"/>
      <c r="J87" s="67"/>
      <c r="K87" s="68"/>
      <c r="L87" s="1"/>
      <c r="M87" s="1"/>
      <c r="N87" s="1"/>
      <c r="O87" s="1"/>
      <c r="P87" s="1"/>
      <c r="Q87" s="1"/>
      <c r="R87" s="1"/>
      <c r="S87" s="1"/>
      <c r="T87" s="1"/>
      <c r="U87" s="1"/>
      <c r="V87" s="1"/>
      <c r="W87" s="1"/>
      <c r="X87" s="1"/>
    </row>
    <row r="88" ht="15.75" customHeight="1">
      <c r="A88" s="1"/>
      <c r="B88" s="28"/>
      <c r="C88" s="28"/>
      <c r="D88" s="28"/>
      <c r="E88" s="28"/>
      <c r="F88" s="28"/>
      <c r="G88" s="34"/>
      <c r="H88" s="1"/>
      <c r="I88" s="1"/>
      <c r="J88" s="67"/>
      <c r="K88" s="68"/>
      <c r="L88" s="1"/>
      <c r="M88" s="1"/>
      <c r="N88" s="1"/>
      <c r="O88" s="1"/>
      <c r="P88" s="1"/>
      <c r="Q88" s="1"/>
      <c r="R88" s="1"/>
      <c r="S88" s="1"/>
      <c r="T88" s="1"/>
      <c r="U88" s="1"/>
      <c r="V88" s="1"/>
      <c r="W88" s="1"/>
      <c r="X88" s="1"/>
    </row>
    <row r="89" ht="15.75" customHeight="1">
      <c r="A89" s="1"/>
      <c r="B89" s="28"/>
      <c r="C89" s="28"/>
      <c r="D89" s="28"/>
      <c r="E89" s="28"/>
      <c r="F89" s="28"/>
      <c r="G89" s="34"/>
      <c r="H89" s="1"/>
      <c r="I89" s="1"/>
      <c r="J89" s="67"/>
      <c r="K89" s="68"/>
      <c r="L89" s="1"/>
      <c r="M89" s="1"/>
      <c r="N89" s="1"/>
      <c r="O89" s="1"/>
      <c r="P89" s="1"/>
      <c r="Q89" s="1"/>
      <c r="R89" s="1"/>
      <c r="S89" s="1"/>
      <c r="T89" s="1"/>
      <c r="U89" s="1"/>
      <c r="V89" s="1"/>
      <c r="W89" s="1"/>
      <c r="X89" s="1"/>
    </row>
    <row r="90" ht="15.75" customHeight="1">
      <c r="A90" s="1"/>
      <c r="B90" s="28"/>
      <c r="C90" s="28"/>
      <c r="D90" s="28"/>
      <c r="E90" s="28"/>
      <c r="F90" s="28"/>
      <c r="G90" s="34"/>
      <c r="H90" s="1"/>
      <c r="I90" s="1"/>
      <c r="J90" s="67"/>
      <c r="K90" s="68"/>
      <c r="L90" s="1"/>
      <c r="M90" s="1"/>
      <c r="N90" s="1"/>
      <c r="O90" s="1"/>
      <c r="P90" s="1"/>
      <c r="Q90" s="1"/>
      <c r="R90" s="1"/>
      <c r="S90" s="1"/>
      <c r="T90" s="1"/>
      <c r="U90" s="1"/>
      <c r="V90" s="1"/>
      <c r="W90" s="1"/>
      <c r="X90" s="1"/>
    </row>
    <row r="91" ht="15.75" customHeight="1">
      <c r="A91" s="1"/>
      <c r="B91" s="28"/>
      <c r="C91" s="28"/>
      <c r="D91" s="28"/>
      <c r="E91" s="28"/>
      <c r="F91" s="28"/>
      <c r="G91" s="34"/>
      <c r="H91" s="1"/>
      <c r="I91" s="1"/>
      <c r="J91" s="67"/>
      <c r="K91" s="68"/>
      <c r="L91" s="1"/>
      <c r="M91" s="1"/>
      <c r="N91" s="1"/>
      <c r="O91" s="1"/>
      <c r="P91" s="1"/>
      <c r="Q91" s="1"/>
      <c r="R91" s="1"/>
      <c r="S91" s="1"/>
      <c r="T91" s="1"/>
      <c r="U91" s="1"/>
      <c r="V91" s="1"/>
      <c r="W91" s="1"/>
      <c r="X91" s="1"/>
    </row>
    <row r="92" ht="15.75" customHeight="1">
      <c r="A92" s="1"/>
      <c r="B92" s="28"/>
      <c r="C92" s="28"/>
      <c r="D92" s="28"/>
      <c r="E92" s="28"/>
      <c r="F92" s="28"/>
      <c r="G92" s="34"/>
      <c r="H92" s="1"/>
      <c r="I92" s="1"/>
      <c r="J92" s="67"/>
      <c r="K92" s="68"/>
      <c r="L92" s="1"/>
      <c r="M92" s="1"/>
      <c r="N92" s="1"/>
      <c r="O92" s="1"/>
      <c r="P92" s="1"/>
      <c r="Q92" s="1"/>
      <c r="R92" s="1"/>
      <c r="S92" s="1"/>
      <c r="T92" s="1"/>
      <c r="U92" s="1"/>
      <c r="V92" s="1"/>
      <c r="W92" s="1"/>
      <c r="X92" s="1"/>
    </row>
    <row r="93" ht="15.75" customHeight="1">
      <c r="A93" s="1"/>
      <c r="B93" s="28"/>
      <c r="C93" s="28"/>
      <c r="D93" s="28"/>
      <c r="E93" s="28"/>
      <c r="F93" s="28"/>
      <c r="G93" s="34"/>
      <c r="H93" s="1"/>
      <c r="I93" s="1"/>
      <c r="J93" s="67"/>
      <c r="K93" s="68"/>
      <c r="L93" s="1"/>
      <c r="M93" s="1"/>
      <c r="N93" s="1"/>
      <c r="O93" s="1"/>
      <c r="P93" s="1"/>
      <c r="Q93" s="1"/>
      <c r="R93" s="1"/>
      <c r="S93" s="1"/>
      <c r="T93" s="1"/>
      <c r="U93" s="1"/>
      <c r="V93" s="1"/>
      <c r="W93" s="1"/>
      <c r="X93" s="1"/>
    </row>
    <row r="94" ht="15.75" customHeight="1">
      <c r="A94" s="1"/>
      <c r="B94" s="28"/>
      <c r="C94" s="28"/>
      <c r="D94" s="28"/>
      <c r="E94" s="28"/>
      <c r="F94" s="28"/>
      <c r="G94" s="34"/>
      <c r="H94" s="1"/>
      <c r="I94" s="1"/>
      <c r="J94" s="67"/>
      <c r="K94" s="68"/>
      <c r="L94" s="1"/>
      <c r="M94" s="1"/>
      <c r="N94" s="1"/>
      <c r="O94" s="1"/>
      <c r="P94" s="1"/>
      <c r="Q94" s="1"/>
      <c r="R94" s="1"/>
      <c r="S94" s="1"/>
      <c r="T94" s="1"/>
      <c r="U94" s="1"/>
      <c r="V94" s="1"/>
      <c r="W94" s="1"/>
      <c r="X94" s="1"/>
    </row>
    <row r="95" ht="15.75" customHeight="1">
      <c r="A95" s="1"/>
      <c r="B95" s="28"/>
      <c r="C95" s="28"/>
      <c r="D95" s="28"/>
      <c r="E95" s="28"/>
      <c r="F95" s="28"/>
      <c r="G95" s="34"/>
      <c r="H95" s="1"/>
      <c r="I95" s="1"/>
      <c r="J95" s="67"/>
      <c r="K95" s="68"/>
      <c r="L95" s="1"/>
      <c r="M95" s="1"/>
      <c r="N95" s="1"/>
      <c r="O95" s="1"/>
      <c r="P95" s="1"/>
      <c r="Q95" s="1"/>
      <c r="R95" s="1"/>
      <c r="S95" s="1"/>
      <c r="T95" s="1"/>
      <c r="U95" s="1"/>
      <c r="V95" s="1"/>
      <c r="W95" s="1"/>
      <c r="X95" s="1"/>
    </row>
    <row r="96" ht="15.75" customHeight="1">
      <c r="A96" s="1"/>
      <c r="B96" s="28"/>
      <c r="C96" s="28"/>
      <c r="D96" s="28"/>
      <c r="E96" s="28"/>
      <c r="F96" s="28"/>
      <c r="G96" s="34"/>
      <c r="H96" s="1"/>
      <c r="I96" s="1"/>
      <c r="J96" s="67"/>
      <c r="K96" s="68"/>
      <c r="L96" s="1"/>
      <c r="M96" s="1"/>
      <c r="N96" s="1"/>
      <c r="O96" s="1"/>
      <c r="P96" s="1"/>
      <c r="Q96" s="1"/>
      <c r="R96" s="1"/>
      <c r="S96" s="1"/>
      <c r="T96" s="1"/>
      <c r="U96" s="1"/>
      <c r="V96" s="1"/>
      <c r="W96" s="1"/>
      <c r="X96" s="1"/>
    </row>
    <row r="97" ht="15.75" customHeight="1">
      <c r="A97" s="1"/>
      <c r="B97" s="28"/>
      <c r="C97" s="28"/>
      <c r="D97" s="28"/>
      <c r="E97" s="28"/>
      <c r="F97" s="28"/>
      <c r="G97" s="34"/>
      <c r="H97" s="1"/>
      <c r="I97" s="1"/>
      <c r="J97" s="67"/>
      <c r="K97" s="68"/>
      <c r="L97" s="1"/>
      <c r="M97" s="1"/>
      <c r="N97" s="1"/>
      <c r="O97" s="1"/>
      <c r="P97" s="1"/>
      <c r="Q97" s="1"/>
      <c r="R97" s="1"/>
      <c r="S97" s="1"/>
      <c r="T97" s="1"/>
      <c r="U97" s="1"/>
      <c r="V97" s="1"/>
      <c r="W97" s="1"/>
      <c r="X97" s="1"/>
    </row>
    <row r="98" ht="15.75" customHeight="1">
      <c r="A98" s="1"/>
      <c r="B98" s="28"/>
      <c r="C98" s="28"/>
      <c r="D98" s="28"/>
      <c r="E98" s="28"/>
      <c r="F98" s="28"/>
      <c r="G98" s="34"/>
      <c r="H98" s="1"/>
      <c r="I98" s="1"/>
      <c r="J98" s="67"/>
      <c r="K98" s="68"/>
      <c r="L98" s="1"/>
      <c r="M98" s="1"/>
      <c r="N98" s="1"/>
      <c r="O98" s="1"/>
      <c r="P98" s="1"/>
      <c r="Q98" s="1"/>
      <c r="R98" s="1"/>
      <c r="S98" s="1"/>
      <c r="T98" s="1"/>
      <c r="U98" s="1"/>
      <c r="V98" s="1"/>
      <c r="W98" s="1"/>
      <c r="X98" s="1"/>
    </row>
    <row r="99" ht="15.75" customHeight="1">
      <c r="A99" s="1"/>
      <c r="B99" s="28"/>
      <c r="C99" s="28"/>
      <c r="D99" s="28"/>
      <c r="E99" s="28"/>
      <c r="F99" s="28"/>
      <c r="G99" s="34"/>
      <c r="H99" s="1"/>
      <c r="I99" s="1"/>
      <c r="J99" s="67"/>
      <c r="K99" s="68"/>
      <c r="L99" s="1"/>
      <c r="M99" s="1"/>
      <c r="N99" s="1"/>
      <c r="O99" s="1"/>
      <c r="P99" s="1"/>
      <c r="Q99" s="1"/>
      <c r="R99" s="1"/>
      <c r="S99" s="1"/>
      <c r="T99" s="1"/>
      <c r="U99" s="1"/>
      <c r="V99" s="1"/>
      <c r="W99" s="1"/>
      <c r="X99" s="1"/>
    </row>
    <row r="100" ht="15.75" customHeight="1">
      <c r="A100" s="1"/>
      <c r="B100" s="28"/>
      <c r="C100" s="28"/>
      <c r="D100" s="28"/>
      <c r="E100" s="28"/>
      <c r="F100" s="28"/>
      <c r="G100" s="34"/>
      <c r="H100" s="1"/>
      <c r="I100" s="1"/>
      <c r="J100" s="67"/>
      <c r="K100" s="68"/>
      <c r="L100" s="1"/>
      <c r="M100" s="1"/>
      <c r="N100" s="1"/>
      <c r="O100" s="1"/>
      <c r="P100" s="1"/>
      <c r="Q100" s="1"/>
      <c r="R100" s="1"/>
      <c r="S100" s="1"/>
      <c r="T100" s="1"/>
      <c r="U100" s="1"/>
      <c r="V100" s="1"/>
      <c r="W100" s="1"/>
      <c r="X100" s="1"/>
    </row>
    <row r="101" ht="15.75" customHeight="1">
      <c r="A101" s="1"/>
      <c r="B101" s="28"/>
      <c r="C101" s="28"/>
      <c r="D101" s="28"/>
      <c r="E101" s="28"/>
      <c r="F101" s="28"/>
      <c r="G101" s="34"/>
      <c r="H101" s="1"/>
      <c r="I101" s="1"/>
      <c r="J101" s="67"/>
      <c r="K101" s="68"/>
      <c r="L101" s="1"/>
      <c r="M101" s="1"/>
      <c r="N101" s="1"/>
      <c r="O101" s="1"/>
      <c r="P101" s="1"/>
      <c r="Q101" s="1"/>
      <c r="R101" s="1"/>
      <c r="S101" s="1"/>
      <c r="T101" s="1"/>
      <c r="U101" s="1"/>
      <c r="V101" s="1"/>
      <c r="W101" s="1"/>
      <c r="X101" s="1"/>
    </row>
    <row r="102" ht="15.75" customHeight="1">
      <c r="A102" s="1"/>
      <c r="B102" s="28"/>
      <c r="C102" s="28"/>
      <c r="D102" s="28"/>
      <c r="E102" s="28"/>
      <c r="F102" s="28"/>
      <c r="G102" s="34"/>
      <c r="H102" s="1"/>
      <c r="I102" s="1"/>
      <c r="J102" s="67"/>
      <c r="K102" s="68"/>
      <c r="L102" s="1"/>
      <c r="M102" s="1"/>
      <c r="N102" s="1"/>
      <c r="O102" s="1"/>
      <c r="P102" s="1"/>
      <c r="Q102" s="1"/>
      <c r="R102" s="1"/>
      <c r="S102" s="1"/>
      <c r="T102" s="1"/>
      <c r="U102" s="1"/>
      <c r="V102" s="1"/>
      <c r="W102" s="1"/>
      <c r="X102" s="1"/>
    </row>
    <row r="103" ht="15.75" customHeight="1">
      <c r="A103" s="1"/>
      <c r="B103" s="28"/>
      <c r="C103" s="28"/>
      <c r="D103" s="28"/>
      <c r="E103" s="28"/>
      <c r="F103" s="28"/>
      <c r="G103" s="34"/>
      <c r="H103" s="1"/>
      <c r="I103" s="1"/>
      <c r="J103" s="67"/>
      <c r="K103" s="68"/>
      <c r="L103" s="1"/>
      <c r="M103" s="1"/>
      <c r="N103" s="1"/>
      <c r="O103" s="1"/>
      <c r="P103" s="1"/>
      <c r="Q103" s="1"/>
      <c r="R103" s="1"/>
      <c r="S103" s="1"/>
      <c r="T103" s="1"/>
      <c r="U103" s="1"/>
      <c r="V103" s="1"/>
      <c r="W103" s="1"/>
      <c r="X103" s="1"/>
    </row>
    <row r="104" ht="15.75" customHeight="1">
      <c r="A104" s="1"/>
      <c r="B104" s="28"/>
      <c r="C104" s="28"/>
      <c r="D104" s="28"/>
      <c r="E104" s="28"/>
      <c r="F104" s="28"/>
      <c r="G104" s="34"/>
      <c r="H104" s="1"/>
      <c r="I104" s="1"/>
      <c r="J104" s="67"/>
      <c r="K104" s="68"/>
      <c r="L104" s="1"/>
      <c r="M104" s="1"/>
      <c r="N104" s="1"/>
      <c r="O104" s="1"/>
      <c r="P104" s="1"/>
      <c r="Q104" s="1"/>
      <c r="R104" s="1"/>
      <c r="S104" s="1"/>
      <c r="T104" s="1"/>
      <c r="U104" s="1"/>
      <c r="V104" s="1"/>
      <c r="W104" s="1"/>
      <c r="X104" s="1"/>
    </row>
    <row r="105" ht="15.75" customHeight="1">
      <c r="A105" s="1"/>
      <c r="B105" s="28"/>
      <c r="C105" s="28"/>
      <c r="D105" s="28"/>
      <c r="E105" s="28"/>
      <c r="F105" s="28"/>
      <c r="G105" s="34"/>
      <c r="H105" s="1"/>
      <c r="I105" s="1"/>
      <c r="J105" s="67"/>
      <c r="K105" s="68"/>
      <c r="L105" s="1"/>
      <c r="M105" s="1"/>
      <c r="N105" s="1"/>
      <c r="O105" s="1"/>
      <c r="P105" s="1"/>
      <c r="Q105" s="1"/>
      <c r="R105" s="1"/>
      <c r="S105" s="1"/>
      <c r="T105" s="1"/>
      <c r="U105" s="1"/>
      <c r="V105" s="1"/>
      <c r="W105" s="1"/>
      <c r="X105" s="1"/>
    </row>
    <row r="106" ht="15.75" customHeight="1">
      <c r="A106" s="1"/>
      <c r="B106" s="28"/>
      <c r="C106" s="28"/>
      <c r="D106" s="28"/>
      <c r="E106" s="28"/>
      <c r="F106" s="28"/>
      <c r="G106" s="34"/>
      <c r="H106" s="1"/>
      <c r="I106" s="1"/>
      <c r="J106" s="67"/>
      <c r="K106" s="68"/>
      <c r="L106" s="1"/>
      <c r="M106" s="1"/>
      <c r="N106" s="1"/>
      <c r="O106" s="1"/>
      <c r="P106" s="1"/>
      <c r="Q106" s="1"/>
      <c r="R106" s="1"/>
      <c r="S106" s="1"/>
      <c r="T106" s="1"/>
      <c r="U106" s="1"/>
      <c r="V106" s="1"/>
      <c r="W106" s="1"/>
      <c r="X106" s="1"/>
    </row>
    <row r="107" ht="15.75" customHeight="1">
      <c r="A107" s="1"/>
      <c r="B107" s="28"/>
      <c r="C107" s="28"/>
      <c r="D107" s="28"/>
      <c r="E107" s="28"/>
      <c r="F107" s="28"/>
      <c r="G107" s="34"/>
      <c r="H107" s="1"/>
      <c r="I107" s="1"/>
      <c r="J107" s="67"/>
      <c r="K107" s="68"/>
      <c r="L107" s="1"/>
      <c r="M107" s="1"/>
      <c r="N107" s="1"/>
      <c r="O107" s="1"/>
      <c r="P107" s="1"/>
      <c r="Q107" s="1"/>
      <c r="R107" s="1"/>
      <c r="S107" s="1"/>
      <c r="T107" s="1"/>
      <c r="U107" s="1"/>
      <c r="V107" s="1"/>
      <c r="W107" s="1"/>
      <c r="X107" s="1"/>
    </row>
    <row r="108" ht="15.75" customHeight="1">
      <c r="A108" s="1"/>
      <c r="B108" s="28"/>
      <c r="C108" s="28"/>
      <c r="D108" s="28"/>
      <c r="E108" s="28"/>
      <c r="F108" s="28"/>
      <c r="G108" s="34"/>
      <c r="H108" s="1"/>
      <c r="I108" s="1"/>
      <c r="J108" s="67"/>
      <c r="K108" s="68"/>
      <c r="L108" s="1"/>
      <c r="M108" s="1"/>
      <c r="N108" s="1"/>
      <c r="O108" s="1"/>
      <c r="P108" s="1"/>
      <c r="Q108" s="1"/>
      <c r="R108" s="1"/>
      <c r="S108" s="1"/>
      <c r="T108" s="1"/>
      <c r="U108" s="1"/>
      <c r="V108" s="1"/>
      <c r="W108" s="1"/>
      <c r="X108" s="1"/>
    </row>
    <row r="109" ht="15.75" customHeight="1">
      <c r="A109" s="1"/>
      <c r="B109" s="28"/>
      <c r="C109" s="28"/>
      <c r="D109" s="28"/>
      <c r="E109" s="28"/>
      <c r="F109" s="28"/>
      <c r="G109" s="34"/>
      <c r="H109" s="1"/>
      <c r="I109" s="1"/>
      <c r="J109" s="67"/>
      <c r="K109" s="68"/>
      <c r="L109" s="1"/>
      <c r="M109" s="1"/>
      <c r="N109" s="1"/>
      <c r="O109" s="1"/>
      <c r="P109" s="1"/>
      <c r="Q109" s="1"/>
      <c r="R109" s="1"/>
      <c r="S109" s="1"/>
      <c r="T109" s="1"/>
      <c r="U109" s="1"/>
      <c r="V109" s="1"/>
      <c r="W109" s="1"/>
      <c r="X109" s="1"/>
    </row>
    <row r="110" ht="15.75" customHeight="1">
      <c r="A110" s="1"/>
      <c r="B110" s="28"/>
      <c r="C110" s="28"/>
      <c r="D110" s="28"/>
      <c r="E110" s="28"/>
      <c r="F110" s="28"/>
      <c r="G110" s="34"/>
      <c r="H110" s="1"/>
      <c r="I110" s="1"/>
      <c r="J110" s="67"/>
      <c r="K110" s="68"/>
      <c r="L110" s="1"/>
      <c r="M110" s="1"/>
      <c r="N110" s="1"/>
      <c r="O110" s="1"/>
      <c r="P110" s="1"/>
      <c r="Q110" s="1"/>
      <c r="R110" s="1"/>
      <c r="S110" s="1"/>
      <c r="T110" s="1"/>
      <c r="U110" s="1"/>
      <c r="V110" s="1"/>
      <c r="W110" s="1"/>
      <c r="X110" s="1"/>
    </row>
    <row r="111" ht="15.75" customHeight="1">
      <c r="A111" s="1"/>
      <c r="B111" s="28"/>
      <c r="C111" s="28"/>
      <c r="D111" s="28"/>
      <c r="E111" s="28"/>
      <c r="F111" s="28"/>
      <c r="G111" s="34"/>
      <c r="H111" s="1"/>
      <c r="I111" s="1"/>
      <c r="J111" s="67"/>
      <c r="K111" s="68"/>
      <c r="L111" s="1"/>
      <c r="M111" s="1"/>
      <c r="N111" s="1"/>
      <c r="O111" s="1"/>
      <c r="P111" s="1"/>
      <c r="Q111" s="1"/>
      <c r="R111" s="1"/>
      <c r="S111" s="1"/>
      <c r="T111" s="1"/>
      <c r="U111" s="1"/>
      <c r="V111" s="1"/>
      <c r="W111" s="1"/>
      <c r="X111" s="1"/>
    </row>
    <row r="112" ht="15.75" customHeight="1">
      <c r="A112" s="1"/>
      <c r="B112" s="28"/>
      <c r="C112" s="28"/>
      <c r="D112" s="28"/>
      <c r="E112" s="28"/>
      <c r="F112" s="28"/>
      <c r="G112" s="34"/>
      <c r="H112" s="1"/>
      <c r="I112" s="1"/>
      <c r="J112" s="67"/>
      <c r="K112" s="68"/>
      <c r="L112" s="1"/>
      <c r="M112" s="1"/>
      <c r="N112" s="1"/>
      <c r="O112" s="1"/>
      <c r="P112" s="1"/>
      <c r="Q112" s="1"/>
      <c r="R112" s="1"/>
      <c r="S112" s="1"/>
      <c r="T112" s="1"/>
      <c r="U112" s="1"/>
      <c r="V112" s="1"/>
      <c r="W112" s="1"/>
      <c r="X112" s="1"/>
    </row>
    <row r="113" ht="15.75" customHeight="1">
      <c r="A113" s="1"/>
      <c r="B113" s="28"/>
      <c r="C113" s="28"/>
      <c r="D113" s="28"/>
      <c r="E113" s="28"/>
      <c r="F113" s="28"/>
      <c r="G113" s="34"/>
      <c r="H113" s="1"/>
      <c r="I113" s="1"/>
      <c r="J113" s="67"/>
      <c r="K113" s="68"/>
      <c r="L113" s="1"/>
      <c r="M113" s="1"/>
      <c r="N113" s="1"/>
      <c r="O113" s="1"/>
      <c r="P113" s="1"/>
      <c r="Q113" s="1"/>
      <c r="R113" s="1"/>
      <c r="S113" s="1"/>
      <c r="T113" s="1"/>
      <c r="U113" s="1"/>
      <c r="V113" s="1"/>
      <c r="W113" s="1"/>
      <c r="X113" s="1"/>
    </row>
    <row r="114" ht="15.75" customHeight="1">
      <c r="A114" s="1"/>
      <c r="B114" s="28"/>
      <c r="C114" s="28"/>
      <c r="D114" s="28"/>
      <c r="E114" s="28"/>
      <c r="F114" s="28"/>
      <c r="G114" s="34"/>
      <c r="H114" s="1"/>
      <c r="I114" s="1"/>
      <c r="J114" s="67"/>
      <c r="K114" s="68"/>
      <c r="L114" s="1"/>
      <c r="M114" s="1"/>
      <c r="N114" s="1"/>
      <c r="O114" s="1"/>
      <c r="P114" s="1"/>
      <c r="Q114" s="1"/>
      <c r="R114" s="1"/>
      <c r="S114" s="1"/>
      <c r="T114" s="1"/>
      <c r="U114" s="1"/>
      <c r="V114" s="1"/>
      <c r="W114" s="1"/>
      <c r="X114" s="1"/>
    </row>
    <row r="115" ht="15.75" customHeight="1">
      <c r="A115" s="1"/>
      <c r="B115" s="28"/>
      <c r="C115" s="28"/>
      <c r="D115" s="28"/>
      <c r="E115" s="28"/>
      <c r="F115" s="28"/>
      <c r="G115" s="34"/>
      <c r="H115" s="1"/>
      <c r="I115" s="1"/>
      <c r="J115" s="67"/>
      <c r="K115" s="68"/>
      <c r="L115" s="1"/>
      <c r="M115" s="1"/>
      <c r="N115" s="1"/>
      <c r="O115" s="1"/>
      <c r="P115" s="1"/>
      <c r="Q115" s="1"/>
      <c r="R115" s="1"/>
      <c r="S115" s="1"/>
      <c r="T115" s="1"/>
      <c r="U115" s="1"/>
      <c r="V115" s="1"/>
      <c r="W115" s="1"/>
      <c r="X115" s="1"/>
    </row>
    <row r="116" ht="15.75" customHeight="1">
      <c r="A116" s="1"/>
      <c r="B116" s="28"/>
      <c r="C116" s="28"/>
      <c r="D116" s="28"/>
      <c r="E116" s="28"/>
      <c r="F116" s="28"/>
      <c r="G116" s="34"/>
      <c r="H116" s="1"/>
      <c r="I116" s="1"/>
      <c r="J116" s="67"/>
      <c r="K116" s="68"/>
      <c r="L116" s="1"/>
      <c r="M116" s="1"/>
      <c r="N116" s="1"/>
      <c r="O116" s="1"/>
      <c r="P116" s="1"/>
      <c r="Q116" s="1"/>
      <c r="R116" s="1"/>
      <c r="S116" s="1"/>
      <c r="T116" s="1"/>
      <c r="U116" s="1"/>
      <c r="V116" s="1"/>
      <c r="W116" s="1"/>
      <c r="X116" s="1"/>
    </row>
    <row r="117" ht="15.75" customHeight="1">
      <c r="A117" s="1"/>
      <c r="B117" s="28"/>
      <c r="C117" s="28"/>
      <c r="D117" s="28"/>
      <c r="E117" s="28"/>
      <c r="F117" s="28"/>
      <c r="G117" s="34"/>
      <c r="H117" s="1"/>
      <c r="I117" s="1"/>
      <c r="J117" s="67"/>
      <c r="K117" s="68"/>
      <c r="L117" s="1"/>
      <c r="M117" s="1"/>
      <c r="N117" s="1"/>
      <c r="O117" s="1"/>
      <c r="P117" s="1"/>
      <c r="Q117" s="1"/>
      <c r="R117" s="1"/>
      <c r="S117" s="1"/>
      <c r="T117" s="1"/>
      <c r="U117" s="1"/>
      <c r="V117" s="1"/>
      <c r="W117" s="1"/>
      <c r="X117" s="1"/>
    </row>
    <row r="118" ht="15.75" customHeight="1">
      <c r="A118" s="1"/>
      <c r="B118" s="28"/>
      <c r="C118" s="28"/>
      <c r="D118" s="28"/>
      <c r="E118" s="28"/>
      <c r="F118" s="28"/>
      <c r="G118" s="34"/>
      <c r="H118" s="1"/>
      <c r="I118" s="1"/>
      <c r="J118" s="67"/>
      <c r="K118" s="68"/>
      <c r="L118" s="1"/>
      <c r="M118" s="1"/>
      <c r="N118" s="1"/>
      <c r="O118" s="1"/>
      <c r="P118" s="1"/>
      <c r="Q118" s="1"/>
      <c r="R118" s="1"/>
      <c r="S118" s="1"/>
      <c r="T118" s="1"/>
      <c r="U118" s="1"/>
      <c r="V118" s="1"/>
      <c r="W118" s="1"/>
      <c r="X118" s="1"/>
    </row>
    <row r="119" ht="15.75" customHeight="1">
      <c r="A119" s="1"/>
      <c r="B119" s="28"/>
      <c r="C119" s="28"/>
      <c r="D119" s="28"/>
      <c r="E119" s="28"/>
      <c r="F119" s="28"/>
      <c r="G119" s="34"/>
      <c r="H119" s="1"/>
      <c r="I119" s="1"/>
      <c r="J119" s="67"/>
      <c r="K119" s="68"/>
      <c r="L119" s="1"/>
      <c r="M119" s="1"/>
      <c r="N119" s="1"/>
      <c r="O119" s="1"/>
      <c r="P119" s="1"/>
      <c r="Q119" s="1"/>
      <c r="R119" s="1"/>
      <c r="S119" s="1"/>
      <c r="T119" s="1"/>
      <c r="U119" s="1"/>
      <c r="V119" s="1"/>
      <c r="W119" s="1"/>
      <c r="X119" s="1"/>
    </row>
    <row r="120" ht="15.75" customHeight="1">
      <c r="A120" s="1"/>
      <c r="B120" s="28"/>
      <c r="C120" s="28"/>
      <c r="D120" s="28"/>
      <c r="E120" s="28"/>
      <c r="F120" s="28"/>
      <c r="G120" s="34"/>
      <c r="H120" s="1"/>
      <c r="I120" s="1"/>
      <c r="J120" s="67"/>
      <c r="K120" s="68"/>
      <c r="L120" s="1"/>
      <c r="M120" s="1"/>
      <c r="N120" s="1"/>
      <c r="O120" s="1"/>
      <c r="P120" s="1"/>
      <c r="Q120" s="1"/>
      <c r="R120" s="1"/>
      <c r="S120" s="1"/>
      <c r="T120" s="1"/>
      <c r="U120" s="1"/>
      <c r="V120" s="1"/>
      <c r="W120" s="1"/>
      <c r="X120" s="1"/>
    </row>
    <row r="121" ht="15.75" customHeight="1">
      <c r="A121" s="1"/>
      <c r="B121" s="28"/>
      <c r="C121" s="28"/>
      <c r="D121" s="28"/>
      <c r="E121" s="28"/>
      <c r="F121" s="28"/>
      <c r="G121" s="34"/>
      <c r="H121" s="1"/>
      <c r="I121" s="1"/>
      <c r="J121" s="67"/>
      <c r="K121" s="68"/>
      <c r="L121" s="1"/>
      <c r="M121" s="1"/>
      <c r="N121" s="1"/>
      <c r="O121" s="1"/>
      <c r="P121" s="1"/>
      <c r="Q121" s="1"/>
      <c r="R121" s="1"/>
      <c r="S121" s="1"/>
      <c r="T121" s="1"/>
      <c r="U121" s="1"/>
      <c r="V121" s="1"/>
      <c r="W121" s="1"/>
      <c r="X121" s="1"/>
    </row>
    <row r="122" ht="15.75" customHeight="1">
      <c r="A122" s="1"/>
      <c r="B122" s="28"/>
      <c r="C122" s="28"/>
      <c r="D122" s="28"/>
      <c r="E122" s="28"/>
      <c r="F122" s="28"/>
      <c r="G122" s="34"/>
      <c r="H122" s="1"/>
      <c r="I122" s="1"/>
      <c r="J122" s="67"/>
      <c r="K122" s="68"/>
      <c r="L122" s="1"/>
      <c r="M122" s="1"/>
      <c r="N122" s="1"/>
      <c r="O122" s="1"/>
      <c r="P122" s="1"/>
      <c r="Q122" s="1"/>
      <c r="R122" s="1"/>
      <c r="S122" s="1"/>
      <c r="T122" s="1"/>
      <c r="U122" s="1"/>
      <c r="V122" s="1"/>
      <c r="W122" s="1"/>
      <c r="X122" s="1"/>
    </row>
    <row r="123" ht="15.75" customHeight="1">
      <c r="A123" s="1"/>
      <c r="B123" s="28"/>
      <c r="C123" s="28"/>
      <c r="D123" s="28"/>
      <c r="E123" s="28"/>
      <c r="F123" s="28"/>
      <c r="G123" s="34"/>
      <c r="H123" s="1"/>
      <c r="I123" s="1"/>
      <c r="J123" s="67"/>
      <c r="K123" s="68"/>
      <c r="L123" s="1"/>
      <c r="M123" s="1"/>
      <c r="N123" s="1"/>
      <c r="O123" s="1"/>
      <c r="P123" s="1"/>
      <c r="Q123" s="1"/>
      <c r="R123" s="1"/>
      <c r="S123" s="1"/>
      <c r="T123" s="1"/>
      <c r="U123" s="1"/>
      <c r="V123" s="1"/>
      <c r="W123" s="1"/>
      <c r="X123" s="1"/>
    </row>
    <row r="124" ht="15.75" customHeight="1">
      <c r="A124" s="1"/>
      <c r="B124" s="28"/>
      <c r="C124" s="28"/>
      <c r="D124" s="28"/>
      <c r="E124" s="28"/>
      <c r="F124" s="28"/>
      <c r="G124" s="34"/>
      <c r="H124" s="1"/>
      <c r="I124" s="1"/>
      <c r="J124" s="67"/>
      <c r="K124" s="68"/>
      <c r="L124" s="1"/>
      <c r="M124" s="1"/>
      <c r="N124" s="1"/>
      <c r="O124" s="1"/>
      <c r="P124" s="1"/>
      <c r="Q124" s="1"/>
      <c r="R124" s="1"/>
      <c r="S124" s="1"/>
      <c r="T124" s="1"/>
      <c r="U124" s="1"/>
      <c r="V124" s="1"/>
      <c r="W124" s="1"/>
      <c r="X124" s="1"/>
    </row>
    <row r="125" ht="15.75" customHeight="1">
      <c r="A125" s="1"/>
      <c r="B125" s="28"/>
      <c r="C125" s="28"/>
      <c r="D125" s="28"/>
      <c r="E125" s="28"/>
      <c r="F125" s="28"/>
      <c r="G125" s="34"/>
      <c r="H125" s="1"/>
      <c r="I125" s="1"/>
      <c r="J125" s="67"/>
      <c r="K125" s="68"/>
      <c r="L125" s="1"/>
      <c r="M125" s="1"/>
      <c r="N125" s="1"/>
      <c r="O125" s="1"/>
      <c r="P125" s="1"/>
      <c r="Q125" s="1"/>
      <c r="R125" s="1"/>
      <c r="S125" s="1"/>
      <c r="T125" s="1"/>
      <c r="U125" s="1"/>
      <c r="V125" s="1"/>
      <c r="W125" s="1"/>
      <c r="X125" s="1"/>
    </row>
    <row r="126" ht="15.75" customHeight="1">
      <c r="A126" s="1"/>
      <c r="B126" s="28"/>
      <c r="C126" s="28"/>
      <c r="D126" s="28"/>
      <c r="E126" s="28"/>
      <c r="F126" s="28"/>
      <c r="G126" s="34"/>
      <c r="H126" s="1"/>
      <c r="I126" s="1"/>
      <c r="J126" s="67"/>
      <c r="K126" s="68"/>
      <c r="L126" s="1"/>
      <c r="M126" s="1"/>
      <c r="N126" s="1"/>
      <c r="O126" s="1"/>
      <c r="P126" s="1"/>
      <c r="Q126" s="1"/>
      <c r="R126" s="1"/>
      <c r="S126" s="1"/>
      <c r="T126" s="1"/>
      <c r="U126" s="1"/>
      <c r="V126" s="1"/>
      <c r="W126" s="1"/>
      <c r="X126" s="1"/>
    </row>
    <row r="127" ht="15.75" customHeight="1">
      <c r="A127" s="1"/>
      <c r="B127" s="28"/>
      <c r="C127" s="28"/>
      <c r="D127" s="28"/>
      <c r="E127" s="28"/>
      <c r="F127" s="28"/>
      <c r="G127" s="34"/>
      <c r="H127" s="1"/>
      <c r="I127" s="1"/>
      <c r="J127" s="67"/>
      <c r="K127" s="68"/>
      <c r="L127" s="1"/>
      <c r="M127" s="1"/>
      <c r="N127" s="1"/>
      <c r="O127" s="1"/>
      <c r="P127" s="1"/>
      <c r="Q127" s="1"/>
      <c r="R127" s="1"/>
      <c r="S127" s="1"/>
      <c r="T127" s="1"/>
      <c r="U127" s="1"/>
      <c r="V127" s="1"/>
      <c r="W127" s="1"/>
      <c r="X127" s="1"/>
    </row>
    <row r="128" ht="15.75" customHeight="1">
      <c r="A128" s="1"/>
      <c r="B128" s="28"/>
      <c r="C128" s="28"/>
      <c r="D128" s="28"/>
      <c r="E128" s="28"/>
      <c r="F128" s="28"/>
      <c r="G128" s="34"/>
      <c r="H128" s="1"/>
      <c r="I128" s="1"/>
      <c r="J128" s="67"/>
      <c r="K128" s="68"/>
      <c r="L128" s="1"/>
      <c r="M128" s="1"/>
      <c r="N128" s="1"/>
      <c r="O128" s="1"/>
      <c r="P128" s="1"/>
      <c r="Q128" s="1"/>
      <c r="R128" s="1"/>
      <c r="S128" s="1"/>
      <c r="T128" s="1"/>
      <c r="U128" s="1"/>
      <c r="V128" s="1"/>
      <c r="W128" s="1"/>
      <c r="X128" s="1"/>
    </row>
    <row r="129" ht="15.75" customHeight="1">
      <c r="A129" s="1"/>
      <c r="B129" s="28"/>
      <c r="C129" s="28"/>
      <c r="D129" s="28"/>
      <c r="E129" s="28"/>
      <c r="F129" s="28"/>
      <c r="G129" s="34"/>
      <c r="H129" s="1"/>
      <c r="I129" s="1"/>
      <c r="J129" s="67"/>
      <c r="K129" s="68"/>
      <c r="L129" s="1"/>
      <c r="M129" s="1"/>
      <c r="N129" s="1"/>
      <c r="O129" s="1"/>
      <c r="P129" s="1"/>
      <c r="Q129" s="1"/>
      <c r="R129" s="1"/>
      <c r="S129" s="1"/>
      <c r="T129" s="1"/>
      <c r="U129" s="1"/>
      <c r="V129" s="1"/>
      <c r="W129" s="1"/>
      <c r="X129" s="1"/>
    </row>
    <row r="130" ht="15.75" customHeight="1">
      <c r="A130" s="1"/>
      <c r="B130" s="28"/>
      <c r="C130" s="28"/>
      <c r="D130" s="28"/>
      <c r="E130" s="28"/>
      <c r="F130" s="28"/>
      <c r="G130" s="34"/>
      <c r="H130" s="1"/>
      <c r="I130" s="1"/>
      <c r="J130" s="67"/>
      <c r="K130" s="68"/>
      <c r="L130" s="1"/>
      <c r="M130" s="1"/>
      <c r="N130" s="1"/>
      <c r="O130" s="1"/>
      <c r="P130" s="1"/>
      <c r="Q130" s="1"/>
      <c r="R130" s="1"/>
      <c r="S130" s="1"/>
      <c r="T130" s="1"/>
      <c r="U130" s="1"/>
      <c r="V130" s="1"/>
      <c r="W130" s="1"/>
      <c r="X130" s="1"/>
    </row>
    <row r="131" ht="15.75" customHeight="1">
      <c r="A131" s="1"/>
      <c r="B131" s="28"/>
      <c r="C131" s="28"/>
      <c r="D131" s="28"/>
      <c r="E131" s="28"/>
      <c r="F131" s="28"/>
      <c r="G131" s="34"/>
      <c r="H131" s="1"/>
      <c r="I131" s="1"/>
      <c r="J131" s="67"/>
      <c r="K131" s="68"/>
      <c r="L131" s="1"/>
      <c r="M131" s="1"/>
      <c r="N131" s="1"/>
      <c r="O131" s="1"/>
      <c r="P131" s="1"/>
      <c r="Q131" s="1"/>
      <c r="R131" s="1"/>
      <c r="S131" s="1"/>
      <c r="T131" s="1"/>
      <c r="U131" s="1"/>
      <c r="V131" s="1"/>
      <c r="W131" s="1"/>
      <c r="X131" s="1"/>
    </row>
    <row r="132" ht="15.75" customHeight="1">
      <c r="A132" s="1"/>
      <c r="B132" s="28"/>
      <c r="C132" s="28"/>
      <c r="D132" s="28"/>
      <c r="E132" s="28"/>
      <c r="F132" s="28"/>
      <c r="G132" s="34"/>
      <c r="H132" s="1"/>
      <c r="I132" s="1"/>
      <c r="J132" s="67"/>
      <c r="K132" s="68"/>
      <c r="L132" s="1"/>
      <c r="M132" s="1"/>
      <c r="N132" s="1"/>
      <c r="O132" s="1"/>
      <c r="P132" s="1"/>
      <c r="Q132" s="1"/>
      <c r="R132" s="1"/>
      <c r="S132" s="1"/>
      <c r="T132" s="1"/>
      <c r="U132" s="1"/>
      <c r="V132" s="1"/>
      <c r="W132" s="1"/>
      <c r="X132" s="1"/>
    </row>
    <row r="133" ht="15.75" customHeight="1">
      <c r="A133" s="1"/>
      <c r="B133" s="28"/>
      <c r="C133" s="28"/>
      <c r="D133" s="28"/>
      <c r="E133" s="28"/>
      <c r="F133" s="28"/>
      <c r="G133" s="34"/>
      <c r="H133" s="1"/>
      <c r="I133" s="1"/>
      <c r="J133" s="67"/>
      <c r="K133" s="68"/>
      <c r="L133" s="1"/>
      <c r="M133" s="1"/>
      <c r="N133" s="1"/>
      <c r="O133" s="1"/>
      <c r="P133" s="1"/>
      <c r="Q133" s="1"/>
      <c r="R133" s="1"/>
      <c r="S133" s="1"/>
      <c r="T133" s="1"/>
      <c r="U133" s="1"/>
      <c r="V133" s="1"/>
      <c r="W133" s="1"/>
      <c r="X133" s="1"/>
    </row>
    <row r="134" ht="15.75" customHeight="1">
      <c r="A134" s="1"/>
      <c r="B134" s="28"/>
      <c r="C134" s="28"/>
      <c r="D134" s="28"/>
      <c r="E134" s="28"/>
      <c r="F134" s="28"/>
      <c r="G134" s="34"/>
      <c r="H134" s="1"/>
      <c r="I134" s="1"/>
      <c r="J134" s="67"/>
      <c r="K134" s="68"/>
      <c r="L134" s="1"/>
      <c r="M134" s="1"/>
      <c r="N134" s="1"/>
      <c r="O134" s="1"/>
      <c r="P134" s="1"/>
      <c r="Q134" s="1"/>
      <c r="R134" s="1"/>
      <c r="S134" s="1"/>
      <c r="T134" s="1"/>
      <c r="U134" s="1"/>
      <c r="V134" s="1"/>
      <c r="W134" s="1"/>
      <c r="X134" s="1"/>
    </row>
    <row r="135" ht="15.75" customHeight="1">
      <c r="A135" s="1"/>
      <c r="B135" s="28"/>
      <c r="C135" s="28"/>
      <c r="D135" s="28"/>
      <c r="E135" s="28"/>
      <c r="F135" s="28"/>
      <c r="G135" s="34"/>
      <c r="H135" s="1"/>
      <c r="I135" s="1"/>
      <c r="J135" s="67"/>
      <c r="K135" s="68"/>
      <c r="L135" s="1"/>
      <c r="M135" s="1"/>
      <c r="N135" s="1"/>
      <c r="O135" s="1"/>
      <c r="P135" s="1"/>
      <c r="Q135" s="1"/>
      <c r="R135" s="1"/>
      <c r="S135" s="1"/>
      <c r="T135" s="1"/>
      <c r="U135" s="1"/>
      <c r="V135" s="1"/>
      <c r="W135" s="1"/>
      <c r="X135" s="1"/>
    </row>
    <row r="136" ht="15.75" customHeight="1">
      <c r="A136" s="1"/>
      <c r="B136" s="28"/>
      <c r="C136" s="28"/>
      <c r="D136" s="28"/>
      <c r="E136" s="28"/>
      <c r="F136" s="28"/>
      <c r="G136" s="34"/>
      <c r="H136" s="1"/>
      <c r="I136" s="1"/>
      <c r="J136" s="67"/>
      <c r="K136" s="68"/>
      <c r="L136" s="1"/>
      <c r="M136" s="1"/>
      <c r="N136" s="1"/>
      <c r="O136" s="1"/>
      <c r="P136" s="1"/>
      <c r="Q136" s="1"/>
      <c r="R136" s="1"/>
      <c r="S136" s="1"/>
      <c r="T136" s="1"/>
      <c r="U136" s="1"/>
      <c r="V136" s="1"/>
      <c r="W136" s="1"/>
      <c r="X136" s="1"/>
    </row>
    <row r="137" ht="15.75" customHeight="1">
      <c r="A137" s="1"/>
      <c r="B137" s="28"/>
      <c r="C137" s="28"/>
      <c r="D137" s="28"/>
      <c r="E137" s="28"/>
      <c r="F137" s="28"/>
      <c r="G137" s="34"/>
      <c r="H137" s="1"/>
      <c r="I137" s="1"/>
      <c r="J137" s="67"/>
      <c r="K137" s="68"/>
      <c r="L137" s="1"/>
      <c r="M137" s="1"/>
      <c r="N137" s="1"/>
      <c r="O137" s="1"/>
      <c r="P137" s="1"/>
      <c r="Q137" s="1"/>
      <c r="R137" s="1"/>
      <c r="S137" s="1"/>
      <c r="T137" s="1"/>
      <c r="U137" s="1"/>
      <c r="V137" s="1"/>
      <c r="W137" s="1"/>
      <c r="X137" s="1"/>
    </row>
    <row r="138" ht="15.75" customHeight="1">
      <c r="A138" s="1"/>
      <c r="B138" s="28"/>
      <c r="C138" s="28"/>
      <c r="D138" s="28"/>
      <c r="E138" s="28"/>
      <c r="F138" s="28"/>
      <c r="G138" s="34"/>
      <c r="H138" s="1"/>
      <c r="I138" s="1"/>
      <c r="J138" s="67"/>
      <c r="K138" s="68"/>
      <c r="L138" s="1"/>
      <c r="M138" s="1"/>
      <c r="N138" s="1"/>
      <c r="O138" s="1"/>
      <c r="P138" s="1"/>
      <c r="Q138" s="1"/>
      <c r="R138" s="1"/>
      <c r="S138" s="1"/>
      <c r="T138" s="1"/>
      <c r="U138" s="1"/>
      <c r="V138" s="1"/>
      <c r="W138" s="1"/>
      <c r="X138" s="1"/>
    </row>
    <row r="139" ht="15.75" customHeight="1">
      <c r="A139" s="1"/>
      <c r="B139" s="28"/>
      <c r="C139" s="28"/>
      <c r="D139" s="28"/>
      <c r="E139" s="28"/>
      <c r="F139" s="28"/>
      <c r="G139" s="34"/>
      <c r="H139" s="1"/>
      <c r="I139" s="1"/>
      <c r="J139" s="67"/>
      <c r="K139" s="68"/>
      <c r="L139" s="1"/>
      <c r="M139" s="1"/>
      <c r="N139" s="1"/>
      <c r="O139" s="1"/>
      <c r="P139" s="1"/>
      <c r="Q139" s="1"/>
      <c r="R139" s="1"/>
      <c r="S139" s="1"/>
      <c r="T139" s="1"/>
      <c r="U139" s="1"/>
      <c r="V139" s="1"/>
      <c r="W139" s="1"/>
      <c r="X139" s="1"/>
    </row>
    <row r="140" ht="15.75" customHeight="1">
      <c r="A140" s="1"/>
      <c r="B140" s="28"/>
      <c r="C140" s="28"/>
      <c r="D140" s="28"/>
      <c r="E140" s="28"/>
      <c r="F140" s="28"/>
      <c r="G140" s="34"/>
      <c r="H140" s="1"/>
      <c r="I140" s="1"/>
      <c r="J140" s="67"/>
      <c r="K140" s="68"/>
      <c r="L140" s="1"/>
      <c r="M140" s="1"/>
      <c r="N140" s="1"/>
      <c r="O140" s="1"/>
      <c r="P140" s="1"/>
      <c r="Q140" s="1"/>
      <c r="R140" s="1"/>
      <c r="S140" s="1"/>
      <c r="T140" s="1"/>
      <c r="U140" s="1"/>
      <c r="V140" s="1"/>
      <c r="W140" s="1"/>
      <c r="X140" s="1"/>
    </row>
    <row r="141" ht="15.75" customHeight="1">
      <c r="A141" s="1"/>
      <c r="B141" s="28"/>
      <c r="C141" s="28"/>
      <c r="D141" s="28"/>
      <c r="E141" s="28"/>
      <c r="F141" s="28"/>
      <c r="G141" s="34"/>
      <c r="H141" s="1"/>
      <c r="I141" s="1"/>
      <c r="J141" s="67"/>
      <c r="K141" s="68"/>
      <c r="L141" s="1"/>
      <c r="M141" s="1"/>
      <c r="N141" s="1"/>
      <c r="O141" s="1"/>
      <c r="P141" s="1"/>
      <c r="Q141" s="1"/>
      <c r="R141" s="1"/>
      <c r="S141" s="1"/>
      <c r="T141" s="1"/>
      <c r="U141" s="1"/>
      <c r="V141" s="1"/>
      <c r="W141" s="1"/>
      <c r="X141" s="1"/>
    </row>
    <row r="142" ht="15.75" customHeight="1">
      <c r="A142" s="1"/>
      <c r="B142" s="28"/>
      <c r="C142" s="28"/>
      <c r="D142" s="28"/>
      <c r="E142" s="28"/>
      <c r="F142" s="28"/>
      <c r="G142" s="34"/>
      <c r="H142" s="1"/>
      <c r="I142" s="1"/>
      <c r="J142" s="67"/>
      <c r="K142" s="68"/>
      <c r="L142" s="1"/>
      <c r="M142" s="1"/>
      <c r="N142" s="1"/>
      <c r="O142" s="1"/>
      <c r="P142" s="1"/>
      <c r="Q142" s="1"/>
      <c r="R142" s="1"/>
      <c r="S142" s="1"/>
      <c r="T142" s="1"/>
      <c r="U142" s="1"/>
      <c r="V142" s="1"/>
      <c r="W142" s="1"/>
      <c r="X142" s="1"/>
    </row>
    <row r="143" ht="15.75" customHeight="1">
      <c r="A143" s="1"/>
      <c r="B143" s="28"/>
      <c r="C143" s="28"/>
      <c r="D143" s="28"/>
      <c r="E143" s="28"/>
      <c r="F143" s="28"/>
      <c r="G143" s="34"/>
      <c r="H143" s="1"/>
      <c r="I143" s="1"/>
      <c r="J143" s="67"/>
      <c r="K143" s="68"/>
      <c r="L143" s="1"/>
      <c r="M143" s="1"/>
      <c r="N143" s="1"/>
      <c r="O143" s="1"/>
      <c r="P143" s="1"/>
      <c r="Q143" s="1"/>
      <c r="R143" s="1"/>
      <c r="S143" s="1"/>
      <c r="T143" s="1"/>
      <c r="U143" s="1"/>
      <c r="V143" s="1"/>
      <c r="W143" s="1"/>
      <c r="X143" s="1"/>
    </row>
    <row r="144" ht="15.75" customHeight="1">
      <c r="A144" s="1"/>
      <c r="B144" s="28"/>
      <c r="C144" s="28"/>
      <c r="D144" s="28"/>
      <c r="E144" s="28"/>
      <c r="F144" s="28"/>
      <c r="G144" s="34"/>
      <c r="H144" s="1"/>
      <c r="I144" s="1"/>
      <c r="J144" s="67"/>
      <c r="K144" s="68"/>
      <c r="L144" s="1"/>
      <c r="M144" s="1"/>
      <c r="N144" s="1"/>
      <c r="O144" s="1"/>
      <c r="P144" s="1"/>
      <c r="Q144" s="1"/>
      <c r="R144" s="1"/>
      <c r="S144" s="1"/>
      <c r="T144" s="1"/>
      <c r="U144" s="1"/>
      <c r="V144" s="1"/>
      <c r="W144" s="1"/>
      <c r="X144" s="1"/>
    </row>
    <row r="145" ht="15.75" customHeight="1">
      <c r="A145" s="1"/>
      <c r="B145" s="28"/>
      <c r="C145" s="28"/>
      <c r="D145" s="28"/>
      <c r="E145" s="28"/>
      <c r="F145" s="28"/>
      <c r="G145" s="34"/>
      <c r="H145" s="1"/>
      <c r="I145" s="1"/>
      <c r="J145" s="67"/>
      <c r="K145" s="68"/>
      <c r="L145" s="1"/>
      <c r="M145" s="1"/>
      <c r="N145" s="1"/>
      <c r="O145" s="1"/>
      <c r="P145" s="1"/>
      <c r="Q145" s="1"/>
      <c r="R145" s="1"/>
      <c r="S145" s="1"/>
      <c r="T145" s="1"/>
      <c r="U145" s="1"/>
      <c r="V145" s="1"/>
      <c r="W145" s="1"/>
      <c r="X145" s="1"/>
    </row>
    <row r="146" ht="15.75" customHeight="1">
      <c r="A146" s="1"/>
      <c r="B146" s="28"/>
      <c r="C146" s="28"/>
      <c r="D146" s="28"/>
      <c r="E146" s="28"/>
      <c r="F146" s="28"/>
      <c r="G146" s="34"/>
      <c r="H146" s="1"/>
      <c r="I146" s="1"/>
      <c r="J146" s="67"/>
      <c r="K146" s="68"/>
      <c r="L146" s="1"/>
      <c r="M146" s="1"/>
      <c r="N146" s="1"/>
      <c r="O146" s="1"/>
      <c r="P146" s="1"/>
      <c r="Q146" s="1"/>
      <c r="R146" s="1"/>
      <c r="S146" s="1"/>
      <c r="T146" s="1"/>
      <c r="U146" s="1"/>
      <c r="V146" s="1"/>
      <c r="W146" s="1"/>
      <c r="X146" s="1"/>
    </row>
    <row r="147" ht="15.75" customHeight="1">
      <c r="A147" s="1"/>
      <c r="B147" s="28"/>
      <c r="C147" s="28"/>
      <c r="D147" s="28"/>
      <c r="E147" s="28"/>
      <c r="F147" s="28"/>
      <c r="G147" s="34"/>
      <c r="H147" s="1"/>
      <c r="I147" s="1"/>
      <c r="J147" s="67"/>
      <c r="K147" s="68"/>
      <c r="L147" s="1"/>
      <c r="M147" s="1"/>
      <c r="N147" s="1"/>
      <c r="O147" s="1"/>
      <c r="P147" s="1"/>
      <c r="Q147" s="1"/>
      <c r="R147" s="1"/>
      <c r="S147" s="1"/>
      <c r="T147" s="1"/>
      <c r="U147" s="1"/>
      <c r="V147" s="1"/>
      <c r="W147" s="1"/>
      <c r="X147" s="1"/>
    </row>
    <row r="148" ht="15.75" customHeight="1">
      <c r="A148" s="1"/>
      <c r="B148" s="28"/>
      <c r="C148" s="28"/>
      <c r="D148" s="28"/>
      <c r="E148" s="28"/>
      <c r="F148" s="28"/>
      <c r="G148" s="34"/>
      <c r="H148" s="1"/>
      <c r="I148" s="1"/>
      <c r="J148" s="67"/>
      <c r="K148" s="68"/>
      <c r="L148" s="1"/>
      <c r="M148" s="1"/>
      <c r="N148" s="1"/>
      <c r="O148" s="1"/>
      <c r="P148" s="1"/>
      <c r="Q148" s="1"/>
      <c r="R148" s="1"/>
      <c r="S148" s="1"/>
      <c r="T148" s="1"/>
      <c r="U148" s="1"/>
      <c r="V148" s="1"/>
      <c r="W148" s="1"/>
      <c r="X148" s="1"/>
    </row>
    <row r="149" ht="15.75" customHeight="1">
      <c r="A149" s="1"/>
      <c r="B149" s="28"/>
      <c r="C149" s="28"/>
      <c r="D149" s="28"/>
      <c r="E149" s="28"/>
      <c r="F149" s="28"/>
      <c r="G149" s="34"/>
      <c r="H149" s="1"/>
      <c r="I149" s="1"/>
      <c r="J149" s="67"/>
      <c r="K149" s="68"/>
      <c r="L149" s="1"/>
      <c r="M149" s="1"/>
      <c r="N149" s="1"/>
      <c r="O149" s="1"/>
      <c r="P149" s="1"/>
      <c r="Q149" s="1"/>
      <c r="R149" s="1"/>
      <c r="S149" s="1"/>
      <c r="T149" s="1"/>
      <c r="U149" s="1"/>
      <c r="V149" s="1"/>
      <c r="W149" s="1"/>
      <c r="X149" s="1"/>
    </row>
    <row r="150" ht="15.75" customHeight="1">
      <c r="A150" s="1"/>
      <c r="B150" s="28"/>
      <c r="C150" s="28"/>
      <c r="D150" s="28"/>
      <c r="E150" s="28"/>
      <c r="F150" s="28"/>
      <c r="G150" s="34"/>
      <c r="H150" s="1"/>
      <c r="I150" s="1"/>
      <c r="J150" s="67"/>
      <c r="K150" s="68"/>
      <c r="L150" s="1"/>
      <c r="M150" s="1"/>
      <c r="N150" s="1"/>
      <c r="O150" s="1"/>
      <c r="P150" s="1"/>
      <c r="Q150" s="1"/>
      <c r="R150" s="1"/>
      <c r="S150" s="1"/>
      <c r="T150" s="1"/>
      <c r="U150" s="1"/>
      <c r="V150" s="1"/>
      <c r="W150" s="1"/>
      <c r="X150" s="1"/>
    </row>
    <row r="151" ht="15.75" customHeight="1">
      <c r="A151" s="1"/>
      <c r="B151" s="28"/>
      <c r="C151" s="28"/>
      <c r="D151" s="28"/>
      <c r="E151" s="28"/>
      <c r="F151" s="28"/>
      <c r="G151" s="34"/>
      <c r="H151" s="1"/>
      <c r="I151" s="1"/>
      <c r="J151" s="67"/>
      <c r="K151" s="68"/>
      <c r="L151" s="1"/>
      <c r="M151" s="1"/>
      <c r="N151" s="1"/>
      <c r="O151" s="1"/>
      <c r="P151" s="1"/>
      <c r="Q151" s="1"/>
      <c r="R151" s="1"/>
      <c r="S151" s="1"/>
      <c r="T151" s="1"/>
      <c r="U151" s="1"/>
      <c r="V151" s="1"/>
      <c r="W151" s="1"/>
      <c r="X151" s="1"/>
    </row>
    <row r="152" ht="15.75" customHeight="1">
      <c r="A152" s="1"/>
      <c r="B152" s="28"/>
      <c r="C152" s="28"/>
      <c r="D152" s="28"/>
      <c r="E152" s="28"/>
      <c r="F152" s="28"/>
      <c r="G152" s="34"/>
      <c r="H152" s="1"/>
      <c r="I152" s="1"/>
      <c r="J152" s="67"/>
      <c r="K152" s="68"/>
      <c r="L152" s="1"/>
      <c r="M152" s="1"/>
      <c r="N152" s="1"/>
      <c r="O152" s="1"/>
      <c r="P152" s="1"/>
      <c r="Q152" s="1"/>
      <c r="R152" s="1"/>
      <c r="S152" s="1"/>
      <c r="T152" s="1"/>
      <c r="U152" s="1"/>
      <c r="V152" s="1"/>
      <c r="W152" s="1"/>
      <c r="X152" s="1"/>
    </row>
    <row r="153" ht="15.75" customHeight="1">
      <c r="A153" s="1"/>
      <c r="B153" s="28"/>
      <c r="C153" s="28"/>
      <c r="D153" s="28"/>
      <c r="E153" s="28"/>
      <c r="F153" s="28"/>
      <c r="G153" s="34"/>
      <c r="H153" s="1"/>
      <c r="I153" s="1"/>
      <c r="J153" s="67"/>
      <c r="K153" s="68"/>
      <c r="L153" s="1"/>
      <c r="M153" s="1"/>
      <c r="N153" s="1"/>
      <c r="O153" s="1"/>
      <c r="P153" s="1"/>
      <c r="Q153" s="1"/>
      <c r="R153" s="1"/>
      <c r="S153" s="1"/>
      <c r="T153" s="1"/>
      <c r="U153" s="1"/>
      <c r="V153" s="1"/>
      <c r="W153" s="1"/>
      <c r="X153" s="1"/>
    </row>
    <row r="154" ht="15.75" customHeight="1">
      <c r="A154" s="1"/>
      <c r="B154" s="28"/>
      <c r="C154" s="28"/>
      <c r="D154" s="28"/>
      <c r="E154" s="28"/>
      <c r="F154" s="28"/>
      <c r="G154" s="34"/>
      <c r="H154" s="1"/>
      <c r="I154" s="1"/>
      <c r="J154" s="67"/>
      <c r="K154" s="68"/>
      <c r="L154" s="1"/>
      <c r="M154" s="1"/>
      <c r="N154" s="1"/>
      <c r="O154" s="1"/>
      <c r="P154" s="1"/>
      <c r="Q154" s="1"/>
      <c r="R154" s="1"/>
      <c r="S154" s="1"/>
      <c r="T154" s="1"/>
      <c r="U154" s="1"/>
      <c r="V154" s="1"/>
      <c r="W154" s="1"/>
      <c r="X154" s="1"/>
    </row>
    <row r="155" ht="15.75" customHeight="1">
      <c r="A155" s="1"/>
      <c r="B155" s="28"/>
      <c r="C155" s="28"/>
      <c r="D155" s="28"/>
      <c r="E155" s="28"/>
      <c r="F155" s="28"/>
      <c r="G155" s="34"/>
      <c r="H155" s="1"/>
      <c r="I155" s="1"/>
      <c r="J155" s="67"/>
      <c r="K155" s="68"/>
      <c r="L155" s="1"/>
      <c r="M155" s="1"/>
      <c r="N155" s="1"/>
      <c r="O155" s="1"/>
      <c r="P155" s="1"/>
      <c r="Q155" s="1"/>
      <c r="R155" s="1"/>
      <c r="S155" s="1"/>
      <c r="T155" s="1"/>
      <c r="U155" s="1"/>
      <c r="V155" s="1"/>
      <c r="W155" s="1"/>
      <c r="X155" s="1"/>
    </row>
    <row r="156" ht="15.75" customHeight="1">
      <c r="A156" s="1"/>
      <c r="B156" s="28"/>
      <c r="C156" s="28"/>
      <c r="D156" s="28"/>
      <c r="E156" s="28"/>
      <c r="F156" s="28"/>
      <c r="G156" s="34"/>
      <c r="H156" s="1"/>
      <c r="I156" s="1"/>
      <c r="J156" s="67"/>
      <c r="K156" s="68"/>
      <c r="L156" s="1"/>
      <c r="M156" s="1"/>
      <c r="N156" s="1"/>
      <c r="O156" s="1"/>
      <c r="P156" s="1"/>
      <c r="Q156" s="1"/>
      <c r="R156" s="1"/>
      <c r="S156" s="1"/>
      <c r="T156" s="1"/>
      <c r="U156" s="1"/>
      <c r="V156" s="1"/>
      <c r="W156" s="1"/>
      <c r="X156" s="1"/>
    </row>
    <row r="157" ht="15.75" customHeight="1">
      <c r="A157" s="1"/>
      <c r="B157" s="28"/>
      <c r="C157" s="28"/>
      <c r="D157" s="28"/>
      <c r="E157" s="28"/>
      <c r="F157" s="28"/>
      <c r="G157" s="34"/>
      <c r="H157" s="1"/>
      <c r="I157" s="1"/>
      <c r="J157" s="67"/>
      <c r="K157" s="68"/>
      <c r="L157" s="1"/>
      <c r="M157" s="1"/>
      <c r="N157" s="1"/>
      <c r="O157" s="1"/>
      <c r="P157" s="1"/>
      <c r="Q157" s="1"/>
      <c r="R157" s="1"/>
      <c r="S157" s="1"/>
      <c r="T157" s="1"/>
      <c r="U157" s="1"/>
      <c r="V157" s="1"/>
      <c r="W157" s="1"/>
      <c r="X157" s="1"/>
    </row>
    <row r="158" ht="15.75" customHeight="1">
      <c r="A158" s="1"/>
      <c r="B158" s="28"/>
      <c r="C158" s="28"/>
      <c r="D158" s="28"/>
      <c r="E158" s="28"/>
      <c r="F158" s="28"/>
      <c r="G158" s="34"/>
      <c r="H158" s="1"/>
      <c r="I158" s="1"/>
      <c r="J158" s="67"/>
      <c r="K158" s="68"/>
      <c r="L158" s="1"/>
      <c r="M158" s="1"/>
      <c r="N158" s="1"/>
      <c r="O158" s="1"/>
      <c r="P158" s="1"/>
      <c r="Q158" s="1"/>
      <c r="R158" s="1"/>
      <c r="S158" s="1"/>
      <c r="T158" s="1"/>
      <c r="U158" s="1"/>
      <c r="V158" s="1"/>
      <c r="W158" s="1"/>
      <c r="X158" s="1"/>
    </row>
    <row r="159" ht="15.75" customHeight="1">
      <c r="A159" s="1"/>
      <c r="B159" s="28"/>
      <c r="C159" s="28"/>
      <c r="D159" s="28"/>
      <c r="E159" s="28"/>
      <c r="F159" s="28"/>
      <c r="G159" s="34"/>
      <c r="H159" s="1"/>
      <c r="I159" s="1"/>
      <c r="J159" s="67"/>
      <c r="K159" s="68"/>
      <c r="L159" s="1"/>
      <c r="M159" s="1"/>
      <c r="N159" s="1"/>
      <c r="O159" s="1"/>
      <c r="P159" s="1"/>
      <c r="Q159" s="1"/>
      <c r="R159" s="1"/>
      <c r="S159" s="1"/>
      <c r="T159" s="1"/>
      <c r="U159" s="1"/>
      <c r="V159" s="1"/>
      <c r="W159" s="1"/>
      <c r="X159" s="1"/>
    </row>
    <row r="160" ht="15.75" customHeight="1">
      <c r="A160" s="1"/>
      <c r="B160" s="28"/>
      <c r="C160" s="28"/>
      <c r="D160" s="28"/>
      <c r="E160" s="28"/>
      <c r="F160" s="28"/>
      <c r="G160" s="34"/>
      <c r="H160" s="1"/>
      <c r="I160" s="1"/>
      <c r="J160" s="67"/>
      <c r="K160" s="68"/>
      <c r="L160" s="1"/>
      <c r="M160" s="1"/>
      <c r="N160" s="1"/>
      <c r="O160" s="1"/>
      <c r="P160" s="1"/>
      <c r="Q160" s="1"/>
      <c r="R160" s="1"/>
      <c r="S160" s="1"/>
      <c r="T160" s="1"/>
      <c r="U160" s="1"/>
      <c r="V160" s="1"/>
      <c r="W160" s="1"/>
      <c r="X160" s="1"/>
    </row>
    <row r="161" ht="15.75" customHeight="1">
      <c r="A161" s="1"/>
      <c r="B161" s="28"/>
      <c r="C161" s="28"/>
      <c r="D161" s="28"/>
      <c r="E161" s="28"/>
      <c r="F161" s="28"/>
      <c r="G161" s="34"/>
      <c r="H161" s="1"/>
      <c r="I161" s="1"/>
      <c r="J161" s="67"/>
      <c r="K161" s="68"/>
      <c r="L161" s="1"/>
      <c r="M161" s="1"/>
      <c r="N161" s="1"/>
      <c r="O161" s="1"/>
      <c r="P161" s="1"/>
      <c r="Q161" s="1"/>
      <c r="R161" s="1"/>
      <c r="S161" s="1"/>
      <c r="T161" s="1"/>
      <c r="U161" s="1"/>
      <c r="V161" s="1"/>
      <c r="W161" s="1"/>
      <c r="X161" s="1"/>
    </row>
    <row r="162" ht="15.75" customHeight="1">
      <c r="A162" s="1"/>
      <c r="B162" s="28"/>
      <c r="C162" s="28"/>
      <c r="D162" s="28"/>
      <c r="E162" s="28"/>
      <c r="F162" s="28"/>
      <c r="G162" s="34"/>
      <c r="H162" s="1"/>
      <c r="I162" s="1"/>
      <c r="J162" s="67"/>
      <c r="K162" s="68"/>
      <c r="L162" s="1"/>
      <c r="M162" s="1"/>
      <c r="N162" s="1"/>
      <c r="O162" s="1"/>
      <c r="P162" s="1"/>
      <c r="Q162" s="1"/>
      <c r="R162" s="1"/>
      <c r="S162" s="1"/>
      <c r="T162" s="1"/>
      <c r="U162" s="1"/>
      <c r="V162" s="1"/>
      <c r="W162" s="1"/>
      <c r="X162" s="1"/>
    </row>
    <row r="163" ht="15.75" customHeight="1">
      <c r="A163" s="1"/>
      <c r="B163" s="28"/>
      <c r="C163" s="28"/>
      <c r="D163" s="28"/>
      <c r="E163" s="28"/>
      <c r="F163" s="28"/>
      <c r="G163" s="34"/>
      <c r="H163" s="1"/>
      <c r="I163" s="1"/>
      <c r="J163" s="67"/>
      <c r="K163" s="68"/>
      <c r="L163" s="1"/>
      <c r="M163" s="1"/>
      <c r="N163" s="1"/>
      <c r="O163" s="1"/>
      <c r="P163" s="1"/>
      <c r="Q163" s="1"/>
      <c r="R163" s="1"/>
      <c r="S163" s="1"/>
      <c r="T163" s="1"/>
      <c r="U163" s="1"/>
      <c r="V163" s="1"/>
      <c r="W163" s="1"/>
      <c r="X163" s="1"/>
    </row>
    <row r="164" ht="15.75" customHeight="1">
      <c r="A164" s="1"/>
      <c r="B164" s="28"/>
      <c r="C164" s="28"/>
      <c r="D164" s="28"/>
      <c r="E164" s="28"/>
      <c r="F164" s="28"/>
      <c r="G164" s="34"/>
      <c r="H164" s="1"/>
      <c r="I164" s="1"/>
      <c r="J164" s="67"/>
      <c r="K164" s="68"/>
      <c r="L164" s="1"/>
      <c r="M164" s="1"/>
      <c r="N164" s="1"/>
      <c r="O164" s="1"/>
      <c r="P164" s="1"/>
      <c r="Q164" s="1"/>
      <c r="R164" s="1"/>
      <c r="S164" s="1"/>
      <c r="T164" s="1"/>
      <c r="U164" s="1"/>
      <c r="V164" s="1"/>
      <c r="W164" s="1"/>
      <c r="X164" s="1"/>
    </row>
    <row r="165" ht="15.75" customHeight="1">
      <c r="A165" s="1"/>
      <c r="B165" s="28"/>
      <c r="C165" s="28"/>
      <c r="D165" s="28"/>
      <c r="E165" s="28"/>
      <c r="F165" s="28"/>
      <c r="G165" s="34"/>
      <c r="H165" s="1"/>
      <c r="I165" s="1"/>
      <c r="J165" s="67"/>
      <c r="K165" s="68"/>
      <c r="L165" s="1"/>
      <c r="M165" s="1"/>
      <c r="N165" s="1"/>
      <c r="O165" s="1"/>
      <c r="P165" s="1"/>
      <c r="Q165" s="1"/>
      <c r="R165" s="1"/>
      <c r="S165" s="1"/>
      <c r="T165" s="1"/>
      <c r="U165" s="1"/>
      <c r="V165" s="1"/>
      <c r="W165" s="1"/>
      <c r="X165" s="1"/>
    </row>
    <row r="166" ht="15.75" customHeight="1">
      <c r="A166" s="1"/>
      <c r="B166" s="28"/>
      <c r="C166" s="28"/>
      <c r="D166" s="28"/>
      <c r="E166" s="28"/>
      <c r="F166" s="28"/>
      <c r="G166" s="34"/>
      <c r="H166" s="1"/>
      <c r="I166" s="1"/>
      <c r="J166" s="67"/>
      <c r="K166" s="68"/>
      <c r="L166" s="1"/>
      <c r="M166" s="1"/>
      <c r="N166" s="1"/>
      <c r="O166" s="1"/>
      <c r="P166" s="1"/>
      <c r="Q166" s="1"/>
      <c r="R166" s="1"/>
      <c r="S166" s="1"/>
      <c r="T166" s="1"/>
      <c r="U166" s="1"/>
      <c r="V166" s="1"/>
      <c r="W166" s="1"/>
      <c r="X166" s="1"/>
    </row>
    <row r="167" ht="15.75" customHeight="1">
      <c r="A167" s="1"/>
      <c r="B167" s="28"/>
      <c r="C167" s="28"/>
      <c r="D167" s="28"/>
      <c r="E167" s="28"/>
      <c r="F167" s="28"/>
      <c r="G167" s="34"/>
      <c r="H167" s="1"/>
      <c r="I167" s="1"/>
      <c r="J167" s="67"/>
      <c r="K167" s="68"/>
      <c r="L167" s="1"/>
      <c r="M167" s="1"/>
      <c r="N167" s="1"/>
      <c r="O167" s="1"/>
      <c r="P167" s="1"/>
      <c r="Q167" s="1"/>
      <c r="R167" s="1"/>
      <c r="S167" s="1"/>
      <c r="T167" s="1"/>
      <c r="U167" s="1"/>
      <c r="V167" s="1"/>
      <c r="W167" s="1"/>
      <c r="X167" s="1"/>
    </row>
    <row r="168" ht="15.75" customHeight="1">
      <c r="A168" s="1"/>
      <c r="B168" s="28"/>
      <c r="C168" s="28"/>
      <c r="D168" s="28"/>
      <c r="E168" s="28"/>
      <c r="F168" s="28"/>
      <c r="G168" s="34"/>
      <c r="H168" s="1"/>
      <c r="I168" s="1"/>
      <c r="J168" s="67"/>
      <c r="K168" s="68"/>
      <c r="L168" s="1"/>
      <c r="M168" s="1"/>
      <c r="N168" s="1"/>
      <c r="O168" s="1"/>
      <c r="P168" s="1"/>
      <c r="Q168" s="1"/>
      <c r="R168" s="1"/>
      <c r="S168" s="1"/>
      <c r="T168" s="1"/>
      <c r="U168" s="1"/>
      <c r="V168" s="1"/>
      <c r="W168" s="1"/>
      <c r="X168" s="1"/>
    </row>
    <row r="169" ht="15.75" customHeight="1">
      <c r="A169" s="1"/>
      <c r="B169" s="28"/>
      <c r="C169" s="28"/>
      <c r="D169" s="28"/>
      <c r="E169" s="28"/>
      <c r="F169" s="28"/>
      <c r="G169" s="34"/>
      <c r="H169" s="1"/>
      <c r="I169" s="1"/>
      <c r="J169" s="67"/>
      <c r="K169" s="68"/>
      <c r="L169" s="1"/>
      <c r="M169" s="1"/>
      <c r="N169" s="1"/>
      <c r="O169" s="1"/>
      <c r="P169" s="1"/>
      <c r="Q169" s="1"/>
      <c r="R169" s="1"/>
      <c r="S169" s="1"/>
      <c r="T169" s="1"/>
      <c r="U169" s="1"/>
      <c r="V169" s="1"/>
      <c r="W169" s="1"/>
      <c r="X169" s="1"/>
    </row>
    <row r="170" ht="15.75" customHeight="1">
      <c r="A170" s="1"/>
      <c r="B170" s="28"/>
      <c r="C170" s="28"/>
      <c r="D170" s="28"/>
      <c r="E170" s="28"/>
      <c r="F170" s="28"/>
      <c r="G170" s="34"/>
      <c r="H170" s="1"/>
      <c r="I170" s="1"/>
      <c r="J170" s="67"/>
      <c r="K170" s="68"/>
      <c r="L170" s="1"/>
      <c r="M170" s="1"/>
      <c r="N170" s="1"/>
      <c r="O170" s="1"/>
      <c r="P170" s="1"/>
      <c r="Q170" s="1"/>
      <c r="R170" s="1"/>
      <c r="S170" s="1"/>
      <c r="T170" s="1"/>
      <c r="U170" s="1"/>
      <c r="V170" s="1"/>
      <c r="W170" s="1"/>
      <c r="X170" s="1"/>
    </row>
    <row r="171" ht="15.75" customHeight="1">
      <c r="A171" s="1"/>
      <c r="B171" s="28"/>
      <c r="C171" s="28"/>
      <c r="D171" s="28"/>
      <c r="E171" s="28"/>
      <c r="F171" s="28"/>
      <c r="G171" s="34"/>
      <c r="H171" s="1"/>
      <c r="I171" s="1"/>
      <c r="J171" s="67"/>
      <c r="K171" s="68"/>
      <c r="L171" s="1"/>
      <c r="M171" s="1"/>
      <c r="N171" s="1"/>
      <c r="O171" s="1"/>
      <c r="P171" s="1"/>
      <c r="Q171" s="1"/>
      <c r="R171" s="1"/>
      <c r="S171" s="1"/>
      <c r="T171" s="1"/>
      <c r="U171" s="1"/>
      <c r="V171" s="1"/>
      <c r="W171" s="1"/>
      <c r="X171" s="1"/>
    </row>
    <row r="172" ht="15.75" customHeight="1">
      <c r="A172" s="1"/>
      <c r="B172" s="28"/>
      <c r="C172" s="28"/>
      <c r="D172" s="28"/>
      <c r="E172" s="28"/>
      <c r="F172" s="28"/>
      <c r="G172" s="34"/>
      <c r="H172" s="1"/>
      <c r="I172" s="1"/>
      <c r="J172" s="67"/>
      <c r="K172" s="68"/>
      <c r="L172" s="1"/>
      <c r="M172" s="1"/>
      <c r="N172" s="1"/>
      <c r="O172" s="1"/>
      <c r="P172" s="1"/>
      <c r="Q172" s="1"/>
      <c r="R172" s="1"/>
      <c r="S172" s="1"/>
      <c r="T172" s="1"/>
      <c r="U172" s="1"/>
      <c r="V172" s="1"/>
      <c r="W172" s="1"/>
      <c r="X172" s="1"/>
    </row>
    <row r="173" ht="15.75" customHeight="1">
      <c r="A173" s="1"/>
      <c r="B173" s="28"/>
      <c r="C173" s="28"/>
      <c r="D173" s="28"/>
      <c r="E173" s="28"/>
      <c r="F173" s="28"/>
      <c r="G173" s="34"/>
      <c r="H173" s="1"/>
      <c r="I173" s="1"/>
      <c r="J173" s="67"/>
      <c r="K173" s="68"/>
      <c r="L173" s="1"/>
      <c r="M173" s="1"/>
      <c r="N173" s="1"/>
      <c r="O173" s="1"/>
      <c r="P173" s="1"/>
      <c r="Q173" s="1"/>
      <c r="R173" s="1"/>
      <c r="S173" s="1"/>
      <c r="T173" s="1"/>
      <c r="U173" s="1"/>
      <c r="V173" s="1"/>
      <c r="W173" s="1"/>
      <c r="X173" s="1"/>
    </row>
    <row r="174" ht="15.75" customHeight="1">
      <c r="A174" s="1"/>
      <c r="B174" s="28"/>
      <c r="C174" s="28"/>
      <c r="D174" s="28"/>
      <c r="E174" s="28"/>
      <c r="F174" s="28"/>
      <c r="G174" s="34"/>
      <c r="H174" s="1"/>
      <c r="I174" s="1"/>
      <c r="J174" s="67"/>
      <c r="K174" s="68"/>
      <c r="L174" s="1"/>
      <c r="M174" s="1"/>
      <c r="N174" s="1"/>
      <c r="O174" s="1"/>
      <c r="P174" s="1"/>
      <c r="Q174" s="1"/>
      <c r="R174" s="1"/>
      <c r="S174" s="1"/>
      <c r="T174" s="1"/>
      <c r="U174" s="1"/>
      <c r="V174" s="1"/>
      <c r="W174" s="1"/>
      <c r="X174" s="1"/>
    </row>
    <row r="175" ht="15.75" customHeight="1">
      <c r="A175" s="1"/>
      <c r="B175" s="28"/>
      <c r="C175" s="28"/>
      <c r="D175" s="28"/>
      <c r="E175" s="28"/>
      <c r="F175" s="28"/>
      <c r="G175" s="34"/>
      <c r="H175" s="1"/>
      <c r="I175" s="1"/>
      <c r="J175" s="67"/>
      <c r="K175" s="68"/>
      <c r="L175" s="1"/>
      <c r="M175" s="1"/>
      <c r="N175" s="1"/>
      <c r="O175" s="1"/>
      <c r="P175" s="1"/>
      <c r="Q175" s="1"/>
      <c r="R175" s="1"/>
      <c r="S175" s="1"/>
      <c r="T175" s="1"/>
      <c r="U175" s="1"/>
      <c r="V175" s="1"/>
      <c r="W175" s="1"/>
      <c r="X175" s="1"/>
    </row>
    <row r="176" ht="15.75" customHeight="1">
      <c r="A176" s="1"/>
      <c r="B176" s="28"/>
      <c r="C176" s="28"/>
      <c r="D176" s="28"/>
      <c r="E176" s="28"/>
      <c r="F176" s="28"/>
      <c r="G176" s="34"/>
      <c r="H176" s="1"/>
      <c r="I176" s="1"/>
      <c r="J176" s="67"/>
      <c r="K176" s="68"/>
      <c r="L176" s="1"/>
      <c r="M176" s="1"/>
      <c r="N176" s="1"/>
      <c r="O176" s="1"/>
      <c r="P176" s="1"/>
      <c r="Q176" s="1"/>
      <c r="R176" s="1"/>
      <c r="S176" s="1"/>
      <c r="T176" s="1"/>
      <c r="U176" s="1"/>
      <c r="V176" s="1"/>
      <c r="W176" s="1"/>
      <c r="X176" s="1"/>
    </row>
    <row r="177" ht="15.75" customHeight="1">
      <c r="A177" s="1"/>
      <c r="B177" s="28"/>
      <c r="C177" s="28"/>
      <c r="D177" s="28"/>
      <c r="E177" s="28"/>
      <c r="F177" s="28"/>
      <c r="G177" s="34"/>
      <c r="H177" s="1"/>
      <c r="I177" s="1"/>
      <c r="J177" s="67"/>
      <c r="K177" s="68"/>
      <c r="L177" s="1"/>
      <c r="M177" s="1"/>
      <c r="N177" s="1"/>
      <c r="O177" s="1"/>
      <c r="P177" s="1"/>
      <c r="Q177" s="1"/>
      <c r="R177" s="1"/>
      <c r="S177" s="1"/>
      <c r="T177" s="1"/>
      <c r="U177" s="1"/>
      <c r="V177" s="1"/>
      <c r="W177" s="1"/>
      <c r="X177" s="1"/>
    </row>
    <row r="178" ht="15.75" customHeight="1">
      <c r="A178" s="1"/>
      <c r="B178" s="28"/>
      <c r="C178" s="28"/>
      <c r="D178" s="28"/>
      <c r="E178" s="28"/>
      <c r="F178" s="28"/>
      <c r="G178" s="34"/>
      <c r="H178" s="1"/>
      <c r="I178" s="1"/>
      <c r="J178" s="67"/>
      <c r="K178" s="68"/>
      <c r="L178" s="1"/>
      <c r="M178" s="1"/>
      <c r="N178" s="1"/>
      <c r="O178" s="1"/>
      <c r="P178" s="1"/>
      <c r="Q178" s="1"/>
      <c r="R178" s="1"/>
      <c r="S178" s="1"/>
      <c r="T178" s="1"/>
      <c r="U178" s="1"/>
      <c r="V178" s="1"/>
      <c r="W178" s="1"/>
      <c r="X178" s="1"/>
    </row>
    <row r="179" ht="15.75" customHeight="1">
      <c r="A179" s="1"/>
      <c r="B179" s="28"/>
      <c r="C179" s="28"/>
      <c r="D179" s="28"/>
      <c r="E179" s="28"/>
      <c r="F179" s="28"/>
      <c r="G179" s="34"/>
      <c r="H179" s="1"/>
      <c r="I179" s="1"/>
      <c r="J179" s="67"/>
      <c r="K179" s="68"/>
      <c r="L179" s="1"/>
      <c r="M179" s="1"/>
      <c r="N179" s="1"/>
      <c r="O179" s="1"/>
      <c r="P179" s="1"/>
      <c r="Q179" s="1"/>
      <c r="R179" s="1"/>
      <c r="S179" s="1"/>
      <c r="T179" s="1"/>
      <c r="U179" s="1"/>
      <c r="V179" s="1"/>
      <c r="W179" s="1"/>
      <c r="X179" s="1"/>
    </row>
    <row r="180" ht="15.75" customHeight="1">
      <c r="A180" s="1"/>
      <c r="B180" s="28"/>
      <c r="C180" s="28"/>
      <c r="D180" s="28"/>
      <c r="E180" s="28"/>
      <c r="F180" s="28"/>
      <c r="G180" s="34"/>
      <c r="H180" s="1"/>
      <c r="I180" s="1"/>
      <c r="J180" s="67"/>
      <c r="K180" s="68"/>
      <c r="L180" s="1"/>
      <c r="M180" s="1"/>
      <c r="N180" s="1"/>
      <c r="O180" s="1"/>
      <c r="P180" s="1"/>
      <c r="Q180" s="1"/>
      <c r="R180" s="1"/>
      <c r="S180" s="1"/>
      <c r="T180" s="1"/>
      <c r="U180" s="1"/>
      <c r="V180" s="1"/>
      <c r="W180" s="1"/>
      <c r="X180" s="1"/>
    </row>
    <row r="181" ht="15.75" customHeight="1">
      <c r="A181" s="1"/>
      <c r="B181" s="28"/>
      <c r="C181" s="28"/>
      <c r="D181" s="28"/>
      <c r="E181" s="28"/>
      <c r="F181" s="28"/>
      <c r="G181" s="34"/>
      <c r="H181" s="1"/>
      <c r="I181" s="1"/>
      <c r="J181" s="67"/>
      <c r="K181" s="68"/>
      <c r="L181" s="1"/>
      <c r="M181" s="1"/>
      <c r="N181" s="1"/>
      <c r="O181" s="1"/>
      <c r="P181" s="1"/>
      <c r="Q181" s="1"/>
      <c r="R181" s="1"/>
      <c r="S181" s="1"/>
      <c r="T181" s="1"/>
      <c r="U181" s="1"/>
      <c r="V181" s="1"/>
      <c r="W181" s="1"/>
      <c r="X181" s="1"/>
    </row>
    <row r="182" ht="15.75" customHeight="1">
      <c r="A182" s="1"/>
      <c r="B182" s="28"/>
      <c r="C182" s="28"/>
      <c r="D182" s="28"/>
      <c r="E182" s="28"/>
      <c r="F182" s="28"/>
      <c r="G182" s="34"/>
      <c r="H182" s="1"/>
      <c r="I182" s="1"/>
      <c r="J182" s="67"/>
      <c r="K182" s="68"/>
      <c r="L182" s="1"/>
      <c r="M182" s="1"/>
      <c r="N182" s="1"/>
      <c r="O182" s="1"/>
      <c r="P182" s="1"/>
      <c r="Q182" s="1"/>
      <c r="R182" s="1"/>
      <c r="S182" s="1"/>
      <c r="T182" s="1"/>
      <c r="U182" s="1"/>
      <c r="V182" s="1"/>
      <c r="W182" s="1"/>
      <c r="X182" s="1"/>
    </row>
    <row r="183" ht="15.75" customHeight="1">
      <c r="A183" s="1"/>
      <c r="B183" s="28"/>
      <c r="C183" s="28"/>
      <c r="D183" s="28"/>
      <c r="E183" s="28"/>
      <c r="F183" s="28"/>
      <c r="G183" s="34"/>
      <c r="H183" s="1"/>
      <c r="I183" s="1"/>
      <c r="J183" s="67"/>
      <c r="K183" s="68"/>
      <c r="L183" s="1"/>
      <c r="M183" s="1"/>
      <c r="N183" s="1"/>
      <c r="O183" s="1"/>
      <c r="P183" s="1"/>
      <c r="Q183" s="1"/>
      <c r="R183" s="1"/>
      <c r="S183" s="1"/>
      <c r="T183" s="1"/>
      <c r="U183" s="1"/>
      <c r="V183" s="1"/>
      <c r="W183" s="1"/>
      <c r="X183" s="1"/>
    </row>
    <row r="184" ht="15.75" customHeight="1">
      <c r="A184" s="1"/>
      <c r="B184" s="28"/>
      <c r="C184" s="28"/>
      <c r="D184" s="28"/>
      <c r="E184" s="28"/>
      <c r="F184" s="28"/>
      <c r="G184" s="34"/>
      <c r="H184" s="1"/>
      <c r="I184" s="1"/>
      <c r="J184" s="67"/>
      <c r="K184" s="68"/>
      <c r="L184" s="1"/>
      <c r="M184" s="1"/>
      <c r="N184" s="1"/>
      <c r="O184" s="1"/>
      <c r="P184" s="1"/>
      <c r="Q184" s="1"/>
      <c r="R184" s="1"/>
      <c r="S184" s="1"/>
      <c r="T184" s="1"/>
      <c r="U184" s="1"/>
      <c r="V184" s="1"/>
      <c r="W184" s="1"/>
      <c r="X184" s="1"/>
    </row>
    <row r="185" ht="15.75" customHeight="1">
      <c r="A185" s="1"/>
      <c r="B185" s="28"/>
      <c r="C185" s="28"/>
      <c r="D185" s="28"/>
      <c r="E185" s="28"/>
      <c r="F185" s="28"/>
      <c r="G185" s="34"/>
      <c r="H185" s="1"/>
      <c r="I185" s="1"/>
      <c r="J185" s="67"/>
      <c r="K185" s="68"/>
      <c r="L185" s="1"/>
      <c r="M185" s="1"/>
      <c r="N185" s="1"/>
      <c r="O185" s="1"/>
      <c r="P185" s="1"/>
      <c r="Q185" s="1"/>
      <c r="R185" s="1"/>
      <c r="S185" s="1"/>
      <c r="T185" s="1"/>
      <c r="U185" s="1"/>
      <c r="V185" s="1"/>
      <c r="W185" s="1"/>
      <c r="X185" s="1"/>
    </row>
    <row r="186" ht="15.75" customHeight="1">
      <c r="A186" s="1"/>
      <c r="B186" s="28"/>
      <c r="C186" s="28"/>
      <c r="D186" s="28"/>
      <c r="E186" s="28"/>
      <c r="F186" s="28"/>
      <c r="G186" s="34"/>
      <c r="H186" s="1"/>
      <c r="I186" s="1"/>
      <c r="J186" s="67"/>
      <c r="K186" s="68"/>
      <c r="L186" s="1"/>
      <c r="M186" s="1"/>
      <c r="N186" s="1"/>
      <c r="O186" s="1"/>
      <c r="P186" s="1"/>
      <c r="Q186" s="1"/>
      <c r="R186" s="1"/>
      <c r="S186" s="1"/>
      <c r="T186" s="1"/>
      <c r="U186" s="1"/>
      <c r="V186" s="1"/>
      <c r="W186" s="1"/>
      <c r="X186" s="1"/>
    </row>
    <row r="187" ht="15.75" customHeight="1">
      <c r="A187" s="1"/>
      <c r="B187" s="28"/>
      <c r="C187" s="28"/>
      <c r="D187" s="28"/>
      <c r="E187" s="28"/>
      <c r="F187" s="28"/>
      <c r="G187" s="34"/>
      <c r="H187" s="1"/>
      <c r="I187" s="1"/>
      <c r="J187" s="67"/>
      <c r="K187" s="68"/>
      <c r="L187" s="1"/>
      <c r="M187" s="1"/>
      <c r="N187" s="1"/>
      <c r="O187" s="1"/>
      <c r="P187" s="1"/>
      <c r="Q187" s="1"/>
      <c r="R187" s="1"/>
      <c r="S187" s="1"/>
      <c r="T187" s="1"/>
      <c r="U187" s="1"/>
      <c r="V187" s="1"/>
      <c r="W187" s="1"/>
      <c r="X187" s="1"/>
    </row>
    <row r="188" ht="15.75" customHeight="1">
      <c r="A188" s="1"/>
      <c r="B188" s="28"/>
      <c r="C188" s="28"/>
      <c r="D188" s="28"/>
      <c r="E188" s="28"/>
      <c r="F188" s="28"/>
      <c r="G188" s="34"/>
      <c r="H188" s="1"/>
      <c r="I188" s="1"/>
      <c r="J188" s="67"/>
      <c r="K188" s="68"/>
      <c r="L188" s="1"/>
      <c r="M188" s="1"/>
      <c r="N188" s="1"/>
      <c r="O188" s="1"/>
      <c r="P188" s="1"/>
      <c r="Q188" s="1"/>
      <c r="R188" s="1"/>
      <c r="S188" s="1"/>
      <c r="T188" s="1"/>
      <c r="U188" s="1"/>
      <c r="V188" s="1"/>
      <c r="W188" s="1"/>
      <c r="X188" s="1"/>
    </row>
    <row r="189" ht="15.75" customHeight="1">
      <c r="A189" s="1"/>
      <c r="B189" s="28"/>
      <c r="C189" s="28"/>
      <c r="D189" s="28"/>
      <c r="E189" s="28"/>
      <c r="F189" s="28"/>
      <c r="G189" s="34"/>
      <c r="H189" s="1"/>
      <c r="I189" s="1"/>
      <c r="J189" s="67"/>
      <c r="K189" s="68"/>
      <c r="L189" s="1"/>
      <c r="M189" s="1"/>
      <c r="N189" s="1"/>
      <c r="O189" s="1"/>
      <c r="P189" s="1"/>
      <c r="Q189" s="1"/>
      <c r="R189" s="1"/>
      <c r="S189" s="1"/>
      <c r="T189" s="1"/>
      <c r="U189" s="1"/>
      <c r="V189" s="1"/>
      <c r="W189" s="1"/>
      <c r="X189" s="1"/>
    </row>
    <row r="190" ht="15.75" customHeight="1">
      <c r="A190" s="1"/>
      <c r="B190" s="28"/>
      <c r="C190" s="28"/>
      <c r="D190" s="28"/>
      <c r="E190" s="28"/>
      <c r="F190" s="28"/>
      <c r="G190" s="34"/>
      <c r="H190" s="1"/>
      <c r="I190" s="1"/>
      <c r="J190" s="67"/>
      <c r="K190" s="68"/>
      <c r="L190" s="1"/>
      <c r="M190" s="1"/>
      <c r="N190" s="1"/>
      <c r="O190" s="1"/>
      <c r="P190" s="1"/>
      <c r="Q190" s="1"/>
      <c r="R190" s="1"/>
      <c r="S190" s="1"/>
      <c r="T190" s="1"/>
      <c r="U190" s="1"/>
      <c r="V190" s="1"/>
      <c r="W190" s="1"/>
      <c r="X190" s="1"/>
    </row>
    <row r="191" ht="15.75" customHeight="1">
      <c r="A191" s="1"/>
      <c r="B191" s="28"/>
      <c r="C191" s="28"/>
      <c r="D191" s="28"/>
      <c r="E191" s="28"/>
      <c r="F191" s="28"/>
      <c r="G191" s="34"/>
      <c r="H191" s="1"/>
      <c r="I191" s="1"/>
      <c r="J191" s="67"/>
      <c r="K191" s="68"/>
      <c r="L191" s="1"/>
      <c r="M191" s="1"/>
      <c r="N191" s="1"/>
      <c r="O191" s="1"/>
      <c r="P191" s="1"/>
      <c r="Q191" s="1"/>
      <c r="R191" s="1"/>
      <c r="S191" s="1"/>
      <c r="T191" s="1"/>
      <c r="U191" s="1"/>
      <c r="V191" s="1"/>
      <c r="W191" s="1"/>
      <c r="X191" s="1"/>
    </row>
    <row r="192" ht="15.75" customHeight="1">
      <c r="A192" s="1"/>
      <c r="B192" s="28"/>
      <c r="C192" s="28"/>
      <c r="D192" s="28"/>
      <c r="E192" s="28"/>
      <c r="F192" s="28"/>
      <c r="G192" s="34"/>
      <c r="H192" s="1"/>
      <c r="I192" s="1"/>
      <c r="J192" s="67"/>
      <c r="K192" s="68"/>
      <c r="L192" s="1"/>
      <c r="M192" s="1"/>
      <c r="N192" s="1"/>
      <c r="O192" s="1"/>
      <c r="P192" s="1"/>
      <c r="Q192" s="1"/>
      <c r="R192" s="1"/>
      <c r="S192" s="1"/>
      <c r="T192" s="1"/>
      <c r="U192" s="1"/>
      <c r="V192" s="1"/>
      <c r="W192" s="1"/>
      <c r="X192" s="1"/>
    </row>
    <row r="193" ht="15.75" customHeight="1">
      <c r="A193" s="1"/>
      <c r="B193" s="28"/>
      <c r="C193" s="28"/>
      <c r="D193" s="28"/>
      <c r="E193" s="28"/>
      <c r="F193" s="28"/>
      <c r="G193" s="34"/>
      <c r="H193" s="1"/>
      <c r="I193" s="1"/>
      <c r="J193" s="67"/>
      <c r="K193" s="68"/>
      <c r="L193" s="1"/>
      <c r="M193" s="1"/>
      <c r="N193" s="1"/>
      <c r="O193" s="1"/>
      <c r="P193" s="1"/>
      <c r="Q193" s="1"/>
      <c r="R193" s="1"/>
      <c r="S193" s="1"/>
      <c r="T193" s="1"/>
      <c r="U193" s="1"/>
      <c r="V193" s="1"/>
      <c r="W193" s="1"/>
      <c r="X193" s="1"/>
    </row>
    <row r="194" ht="15.75" customHeight="1">
      <c r="A194" s="1"/>
      <c r="B194" s="28"/>
      <c r="C194" s="28"/>
      <c r="D194" s="28"/>
      <c r="E194" s="28"/>
      <c r="F194" s="28"/>
      <c r="G194" s="34"/>
      <c r="H194" s="1"/>
      <c r="I194" s="1"/>
      <c r="J194" s="67"/>
      <c r="K194" s="68"/>
      <c r="L194" s="1"/>
      <c r="M194" s="1"/>
      <c r="N194" s="1"/>
      <c r="O194" s="1"/>
      <c r="P194" s="1"/>
      <c r="Q194" s="1"/>
      <c r="R194" s="1"/>
      <c r="S194" s="1"/>
      <c r="T194" s="1"/>
      <c r="U194" s="1"/>
      <c r="V194" s="1"/>
      <c r="W194" s="1"/>
      <c r="X194" s="1"/>
    </row>
    <row r="195" ht="15.75" customHeight="1">
      <c r="A195" s="1"/>
      <c r="B195" s="28"/>
      <c r="C195" s="28"/>
      <c r="D195" s="28"/>
      <c r="E195" s="28"/>
      <c r="F195" s="28"/>
      <c r="G195" s="34"/>
      <c r="H195" s="1"/>
      <c r="I195" s="1"/>
      <c r="J195" s="67"/>
      <c r="K195" s="68"/>
      <c r="L195" s="1"/>
      <c r="M195" s="1"/>
      <c r="N195" s="1"/>
      <c r="O195" s="1"/>
      <c r="P195" s="1"/>
      <c r="Q195" s="1"/>
      <c r="R195" s="1"/>
      <c r="S195" s="1"/>
      <c r="T195" s="1"/>
      <c r="U195" s="1"/>
      <c r="V195" s="1"/>
      <c r="W195" s="1"/>
      <c r="X195" s="1"/>
    </row>
    <row r="196" ht="15.75" customHeight="1">
      <c r="A196" s="1"/>
      <c r="B196" s="28"/>
      <c r="C196" s="28"/>
      <c r="D196" s="28"/>
      <c r="E196" s="28"/>
      <c r="F196" s="28"/>
      <c r="G196" s="34"/>
      <c r="H196" s="1"/>
      <c r="I196" s="1"/>
      <c r="J196" s="67"/>
      <c r="K196" s="68"/>
      <c r="L196" s="1"/>
      <c r="M196" s="1"/>
      <c r="N196" s="1"/>
      <c r="O196" s="1"/>
      <c r="P196" s="1"/>
      <c r="Q196" s="1"/>
      <c r="R196" s="1"/>
      <c r="S196" s="1"/>
      <c r="T196" s="1"/>
      <c r="U196" s="1"/>
      <c r="V196" s="1"/>
      <c r="W196" s="1"/>
      <c r="X196" s="1"/>
    </row>
    <row r="197" ht="15.75" customHeight="1">
      <c r="A197" s="1"/>
      <c r="B197" s="28"/>
      <c r="C197" s="28"/>
      <c r="D197" s="28"/>
      <c r="E197" s="28"/>
      <c r="F197" s="28"/>
      <c r="G197" s="34"/>
      <c r="H197" s="1"/>
      <c r="I197" s="1"/>
      <c r="J197" s="67"/>
      <c r="K197" s="68"/>
      <c r="L197" s="1"/>
      <c r="M197" s="1"/>
      <c r="N197" s="1"/>
      <c r="O197" s="1"/>
      <c r="P197" s="1"/>
      <c r="Q197" s="1"/>
      <c r="R197" s="1"/>
      <c r="S197" s="1"/>
      <c r="T197" s="1"/>
      <c r="U197" s="1"/>
      <c r="V197" s="1"/>
      <c r="W197" s="1"/>
      <c r="X197" s="1"/>
    </row>
    <row r="198" ht="15.75" customHeight="1">
      <c r="A198" s="1"/>
      <c r="B198" s="28"/>
      <c r="C198" s="28"/>
      <c r="D198" s="28"/>
      <c r="E198" s="28"/>
      <c r="F198" s="28"/>
      <c r="G198" s="34"/>
      <c r="H198" s="1"/>
      <c r="I198" s="1"/>
      <c r="J198" s="67"/>
      <c r="K198" s="68"/>
      <c r="L198" s="1"/>
      <c r="M198" s="1"/>
      <c r="N198" s="1"/>
      <c r="O198" s="1"/>
      <c r="P198" s="1"/>
      <c r="Q198" s="1"/>
      <c r="R198" s="1"/>
      <c r="S198" s="1"/>
      <c r="T198" s="1"/>
      <c r="U198" s="1"/>
      <c r="V198" s="1"/>
      <c r="W198" s="1"/>
      <c r="X198" s="1"/>
    </row>
    <row r="199" ht="15.75" customHeight="1">
      <c r="A199" s="1"/>
      <c r="B199" s="28"/>
      <c r="C199" s="28"/>
      <c r="D199" s="28"/>
      <c r="E199" s="28"/>
      <c r="F199" s="28"/>
      <c r="G199" s="34"/>
      <c r="H199" s="1"/>
      <c r="I199" s="1"/>
      <c r="J199" s="67"/>
      <c r="K199" s="68"/>
      <c r="L199" s="1"/>
      <c r="M199" s="1"/>
      <c r="N199" s="1"/>
      <c r="O199" s="1"/>
      <c r="P199" s="1"/>
      <c r="Q199" s="1"/>
      <c r="R199" s="1"/>
      <c r="S199" s="1"/>
      <c r="T199" s="1"/>
      <c r="U199" s="1"/>
      <c r="V199" s="1"/>
      <c r="W199" s="1"/>
      <c r="X199" s="1"/>
    </row>
    <row r="200" ht="15.75" customHeight="1">
      <c r="A200" s="1"/>
      <c r="B200" s="28"/>
      <c r="C200" s="28"/>
      <c r="D200" s="28"/>
      <c r="E200" s="28"/>
      <c r="F200" s="28"/>
      <c r="G200" s="34"/>
      <c r="H200" s="1"/>
      <c r="I200" s="1"/>
      <c r="J200" s="67"/>
      <c r="K200" s="68"/>
      <c r="L200" s="1"/>
      <c r="M200" s="1"/>
      <c r="N200" s="1"/>
      <c r="O200" s="1"/>
      <c r="P200" s="1"/>
      <c r="Q200" s="1"/>
      <c r="R200" s="1"/>
      <c r="S200" s="1"/>
      <c r="T200" s="1"/>
      <c r="U200" s="1"/>
      <c r="V200" s="1"/>
      <c r="W200" s="1"/>
      <c r="X200" s="1"/>
    </row>
    <row r="201" ht="15.75" customHeight="1">
      <c r="A201" s="1"/>
      <c r="B201" s="28"/>
      <c r="C201" s="28"/>
      <c r="D201" s="28"/>
      <c r="E201" s="28"/>
      <c r="F201" s="28"/>
      <c r="G201" s="34"/>
      <c r="H201" s="1"/>
      <c r="I201" s="1"/>
      <c r="J201" s="67"/>
      <c r="K201" s="68"/>
      <c r="L201" s="1"/>
      <c r="M201" s="1"/>
      <c r="N201" s="1"/>
      <c r="O201" s="1"/>
      <c r="P201" s="1"/>
      <c r="Q201" s="1"/>
      <c r="R201" s="1"/>
      <c r="S201" s="1"/>
      <c r="T201" s="1"/>
      <c r="U201" s="1"/>
      <c r="V201" s="1"/>
      <c r="W201" s="1"/>
      <c r="X201" s="1"/>
    </row>
    <row r="202" ht="15.75" customHeight="1">
      <c r="A202" s="1"/>
      <c r="B202" s="28"/>
      <c r="C202" s="28"/>
      <c r="D202" s="28"/>
      <c r="E202" s="28"/>
      <c r="F202" s="28"/>
      <c r="G202" s="34"/>
      <c r="H202" s="1"/>
      <c r="I202" s="1"/>
      <c r="J202" s="67"/>
      <c r="K202" s="68"/>
      <c r="L202" s="1"/>
      <c r="M202" s="1"/>
      <c r="N202" s="1"/>
      <c r="O202" s="1"/>
      <c r="P202" s="1"/>
      <c r="Q202" s="1"/>
      <c r="R202" s="1"/>
      <c r="S202" s="1"/>
      <c r="T202" s="1"/>
      <c r="U202" s="1"/>
      <c r="V202" s="1"/>
      <c r="W202" s="1"/>
      <c r="X202" s="1"/>
    </row>
    <row r="203" ht="15.75" customHeight="1">
      <c r="A203" s="1"/>
      <c r="B203" s="28"/>
      <c r="C203" s="28"/>
      <c r="D203" s="28"/>
      <c r="E203" s="28"/>
      <c r="F203" s="28"/>
      <c r="G203" s="34"/>
      <c r="H203" s="1"/>
      <c r="I203" s="1"/>
      <c r="J203" s="67"/>
      <c r="K203" s="68"/>
      <c r="L203" s="1"/>
      <c r="M203" s="1"/>
      <c r="N203" s="1"/>
      <c r="O203" s="1"/>
      <c r="P203" s="1"/>
      <c r="Q203" s="1"/>
      <c r="R203" s="1"/>
      <c r="S203" s="1"/>
      <c r="T203" s="1"/>
      <c r="U203" s="1"/>
      <c r="V203" s="1"/>
      <c r="W203" s="1"/>
      <c r="X203" s="1"/>
    </row>
    <row r="204" ht="15.75" customHeight="1">
      <c r="A204" s="1"/>
      <c r="B204" s="28"/>
      <c r="C204" s="28"/>
      <c r="D204" s="28"/>
      <c r="E204" s="28"/>
      <c r="F204" s="28"/>
      <c r="G204" s="34"/>
      <c r="H204" s="1"/>
      <c r="I204" s="1"/>
      <c r="J204" s="67"/>
      <c r="K204" s="68"/>
      <c r="L204" s="1"/>
      <c r="M204" s="1"/>
      <c r="N204" s="1"/>
      <c r="O204" s="1"/>
      <c r="P204" s="1"/>
      <c r="Q204" s="1"/>
      <c r="R204" s="1"/>
      <c r="S204" s="1"/>
      <c r="T204" s="1"/>
      <c r="U204" s="1"/>
      <c r="V204" s="1"/>
      <c r="W204" s="1"/>
      <c r="X204" s="1"/>
    </row>
    <row r="205" ht="15.75" customHeight="1">
      <c r="A205" s="1"/>
      <c r="B205" s="28"/>
      <c r="C205" s="28"/>
      <c r="D205" s="28"/>
      <c r="E205" s="28"/>
      <c r="F205" s="28"/>
      <c r="G205" s="34"/>
      <c r="H205" s="1"/>
      <c r="I205" s="1"/>
      <c r="J205" s="67"/>
      <c r="K205" s="68"/>
      <c r="L205" s="1"/>
      <c r="M205" s="1"/>
      <c r="N205" s="1"/>
      <c r="O205" s="1"/>
      <c r="P205" s="1"/>
      <c r="Q205" s="1"/>
      <c r="R205" s="1"/>
      <c r="S205" s="1"/>
      <c r="T205" s="1"/>
      <c r="U205" s="1"/>
      <c r="V205" s="1"/>
      <c r="W205" s="1"/>
      <c r="X205" s="1"/>
    </row>
    <row r="206" ht="15.75" customHeight="1">
      <c r="A206" s="1"/>
      <c r="B206" s="28"/>
      <c r="C206" s="28"/>
      <c r="D206" s="28"/>
      <c r="E206" s="28"/>
      <c r="F206" s="28"/>
      <c r="G206" s="34"/>
      <c r="H206" s="1"/>
      <c r="I206" s="1"/>
      <c r="J206" s="67"/>
      <c r="K206" s="68"/>
      <c r="L206" s="1"/>
      <c r="M206" s="1"/>
      <c r="N206" s="1"/>
      <c r="O206" s="1"/>
      <c r="P206" s="1"/>
      <c r="Q206" s="1"/>
      <c r="R206" s="1"/>
      <c r="S206" s="1"/>
      <c r="T206" s="1"/>
      <c r="U206" s="1"/>
      <c r="V206" s="1"/>
      <c r="W206" s="1"/>
      <c r="X206" s="1"/>
    </row>
    <row r="207" ht="15.75" customHeight="1">
      <c r="A207" s="1"/>
      <c r="B207" s="28"/>
      <c r="C207" s="28"/>
      <c r="D207" s="28"/>
      <c r="E207" s="28"/>
      <c r="F207" s="28"/>
      <c r="G207" s="34"/>
      <c r="H207" s="1"/>
      <c r="I207" s="1"/>
      <c r="J207" s="67"/>
      <c r="K207" s="68"/>
      <c r="L207" s="1"/>
      <c r="M207" s="1"/>
      <c r="N207" s="1"/>
      <c r="O207" s="1"/>
      <c r="P207" s="1"/>
      <c r="Q207" s="1"/>
      <c r="R207" s="1"/>
      <c r="S207" s="1"/>
      <c r="T207" s="1"/>
      <c r="U207" s="1"/>
      <c r="V207" s="1"/>
      <c r="W207" s="1"/>
      <c r="X207" s="1"/>
    </row>
    <row r="208" ht="15.75" customHeight="1">
      <c r="A208" s="1"/>
      <c r="B208" s="28"/>
      <c r="C208" s="28"/>
      <c r="D208" s="28"/>
      <c r="E208" s="28"/>
      <c r="F208" s="28"/>
      <c r="G208" s="34"/>
      <c r="H208" s="1"/>
      <c r="I208" s="1"/>
      <c r="J208" s="67"/>
      <c r="K208" s="68"/>
      <c r="L208" s="1"/>
      <c r="M208" s="1"/>
      <c r="N208" s="1"/>
      <c r="O208" s="1"/>
      <c r="P208" s="1"/>
      <c r="Q208" s="1"/>
      <c r="R208" s="1"/>
      <c r="S208" s="1"/>
      <c r="T208" s="1"/>
      <c r="U208" s="1"/>
      <c r="V208" s="1"/>
      <c r="W208" s="1"/>
      <c r="X208" s="1"/>
    </row>
    <row r="209" ht="15.75" customHeight="1">
      <c r="A209" s="1"/>
      <c r="B209" s="28"/>
      <c r="C209" s="28"/>
      <c r="D209" s="28"/>
      <c r="E209" s="28"/>
      <c r="F209" s="28"/>
      <c r="G209" s="34"/>
      <c r="H209" s="1"/>
      <c r="I209" s="1"/>
      <c r="J209" s="67"/>
      <c r="K209" s="68"/>
      <c r="L209" s="1"/>
      <c r="M209" s="1"/>
      <c r="N209" s="1"/>
      <c r="O209" s="1"/>
      <c r="P209" s="1"/>
      <c r="Q209" s="1"/>
      <c r="R209" s="1"/>
      <c r="S209" s="1"/>
      <c r="T209" s="1"/>
      <c r="U209" s="1"/>
      <c r="V209" s="1"/>
      <c r="W209" s="1"/>
      <c r="X209" s="1"/>
    </row>
    <row r="210" ht="15.75" customHeight="1">
      <c r="A210" s="1"/>
      <c r="B210" s="28"/>
      <c r="C210" s="28"/>
      <c r="D210" s="28"/>
      <c r="E210" s="28"/>
      <c r="F210" s="28"/>
      <c r="G210" s="34"/>
      <c r="H210" s="1"/>
      <c r="I210" s="1"/>
      <c r="J210" s="67"/>
      <c r="K210" s="68"/>
      <c r="L210" s="1"/>
      <c r="M210" s="1"/>
      <c r="N210" s="1"/>
      <c r="O210" s="1"/>
      <c r="P210" s="1"/>
      <c r="Q210" s="1"/>
      <c r="R210" s="1"/>
      <c r="S210" s="1"/>
      <c r="T210" s="1"/>
      <c r="U210" s="1"/>
      <c r="V210" s="1"/>
      <c r="W210" s="1"/>
      <c r="X210" s="1"/>
    </row>
    <row r="211" ht="15.75" customHeight="1">
      <c r="A211" s="1"/>
      <c r="B211" s="28"/>
      <c r="C211" s="28"/>
      <c r="D211" s="28"/>
      <c r="E211" s="28"/>
      <c r="F211" s="28"/>
      <c r="G211" s="34"/>
      <c r="H211" s="1"/>
      <c r="I211" s="1"/>
      <c r="J211" s="67"/>
      <c r="K211" s="68"/>
      <c r="L211" s="1"/>
      <c r="M211" s="1"/>
      <c r="N211" s="1"/>
      <c r="O211" s="1"/>
      <c r="P211" s="1"/>
      <c r="Q211" s="1"/>
      <c r="R211" s="1"/>
      <c r="S211" s="1"/>
      <c r="T211" s="1"/>
      <c r="U211" s="1"/>
      <c r="V211" s="1"/>
      <c r="W211" s="1"/>
      <c r="X211" s="1"/>
    </row>
    <row r="212" ht="15.75" customHeight="1">
      <c r="A212" s="1"/>
      <c r="B212" s="28"/>
      <c r="C212" s="28"/>
      <c r="D212" s="28"/>
      <c r="E212" s="28"/>
      <c r="F212" s="28"/>
      <c r="G212" s="34"/>
      <c r="H212" s="1"/>
      <c r="I212" s="1"/>
      <c r="J212" s="67"/>
      <c r="K212" s="68"/>
      <c r="L212" s="1"/>
      <c r="M212" s="1"/>
      <c r="N212" s="1"/>
      <c r="O212" s="1"/>
      <c r="P212" s="1"/>
      <c r="Q212" s="1"/>
      <c r="R212" s="1"/>
      <c r="S212" s="1"/>
      <c r="T212" s="1"/>
      <c r="U212" s="1"/>
      <c r="V212" s="1"/>
      <c r="W212" s="1"/>
      <c r="X212" s="1"/>
    </row>
    <row r="213" ht="15.75" customHeight="1">
      <c r="A213" s="1"/>
      <c r="B213" s="28"/>
      <c r="C213" s="28"/>
      <c r="D213" s="28"/>
      <c r="E213" s="28"/>
      <c r="F213" s="28"/>
      <c r="G213" s="34"/>
      <c r="H213" s="1"/>
      <c r="I213" s="1"/>
      <c r="J213" s="67"/>
      <c r="K213" s="68"/>
      <c r="L213" s="1"/>
      <c r="M213" s="1"/>
      <c r="N213" s="1"/>
      <c r="O213" s="1"/>
      <c r="P213" s="1"/>
      <c r="Q213" s="1"/>
      <c r="R213" s="1"/>
      <c r="S213" s="1"/>
      <c r="T213" s="1"/>
      <c r="U213" s="1"/>
      <c r="V213" s="1"/>
      <c r="W213" s="1"/>
      <c r="X213" s="1"/>
    </row>
    <row r="214" ht="15.75" customHeight="1">
      <c r="A214" s="1"/>
      <c r="B214" s="28"/>
      <c r="C214" s="28"/>
      <c r="D214" s="28"/>
      <c r="E214" s="28"/>
      <c r="F214" s="28"/>
      <c r="G214" s="34"/>
      <c r="H214" s="1"/>
      <c r="I214" s="1"/>
      <c r="J214" s="67"/>
      <c r="K214" s="68"/>
      <c r="L214" s="1"/>
      <c r="M214" s="1"/>
      <c r="N214" s="1"/>
      <c r="O214" s="1"/>
      <c r="P214" s="1"/>
      <c r="Q214" s="1"/>
      <c r="R214" s="1"/>
      <c r="S214" s="1"/>
      <c r="T214" s="1"/>
      <c r="U214" s="1"/>
      <c r="V214" s="1"/>
      <c r="W214" s="1"/>
      <c r="X214" s="1"/>
    </row>
    <row r="215" ht="15.75" customHeight="1">
      <c r="A215" s="1"/>
      <c r="B215" s="28"/>
      <c r="C215" s="28"/>
      <c r="D215" s="28"/>
      <c r="E215" s="28"/>
      <c r="F215" s="28"/>
      <c r="G215" s="34"/>
      <c r="H215" s="1"/>
      <c r="I215" s="1"/>
      <c r="J215" s="67"/>
      <c r="K215" s="68"/>
      <c r="L215" s="1"/>
      <c r="M215" s="1"/>
      <c r="N215" s="1"/>
      <c r="O215" s="1"/>
      <c r="P215" s="1"/>
      <c r="Q215" s="1"/>
      <c r="R215" s="1"/>
      <c r="S215" s="1"/>
      <c r="T215" s="1"/>
      <c r="U215" s="1"/>
      <c r="V215" s="1"/>
      <c r="W215" s="1"/>
      <c r="X215" s="1"/>
    </row>
    <row r="216" ht="15.75" customHeight="1">
      <c r="A216" s="1"/>
      <c r="B216" s="28"/>
      <c r="C216" s="28"/>
      <c r="D216" s="28"/>
      <c r="E216" s="28"/>
      <c r="F216" s="28"/>
      <c r="G216" s="34"/>
      <c r="H216" s="1"/>
      <c r="I216" s="1"/>
      <c r="J216" s="67"/>
      <c r="K216" s="68"/>
      <c r="L216" s="1"/>
      <c r="M216" s="1"/>
      <c r="N216" s="1"/>
      <c r="O216" s="1"/>
      <c r="P216" s="1"/>
      <c r="Q216" s="1"/>
      <c r="R216" s="1"/>
      <c r="S216" s="1"/>
      <c r="T216" s="1"/>
      <c r="U216" s="1"/>
      <c r="V216" s="1"/>
      <c r="W216" s="1"/>
      <c r="X216" s="1"/>
    </row>
    <row r="217" ht="15.75" customHeight="1">
      <c r="A217" s="1"/>
      <c r="B217" s="28"/>
      <c r="C217" s="28"/>
      <c r="D217" s="28"/>
      <c r="E217" s="28"/>
      <c r="F217" s="28"/>
      <c r="G217" s="34"/>
      <c r="H217" s="1"/>
      <c r="I217" s="1"/>
      <c r="J217" s="67"/>
      <c r="K217" s="68"/>
      <c r="L217" s="1"/>
      <c r="M217" s="1"/>
      <c r="N217" s="1"/>
      <c r="O217" s="1"/>
      <c r="P217" s="1"/>
      <c r="Q217" s="1"/>
      <c r="R217" s="1"/>
      <c r="S217" s="1"/>
      <c r="T217" s="1"/>
      <c r="U217" s="1"/>
      <c r="V217" s="1"/>
      <c r="W217" s="1"/>
      <c r="X217" s="1"/>
    </row>
    <row r="218" ht="15.75" customHeight="1">
      <c r="A218" s="1"/>
      <c r="B218" s="28"/>
      <c r="C218" s="28"/>
      <c r="D218" s="28"/>
      <c r="E218" s="28"/>
      <c r="F218" s="28"/>
      <c r="G218" s="34"/>
      <c r="H218" s="1"/>
      <c r="I218" s="1"/>
      <c r="J218" s="67"/>
      <c r="K218" s="68"/>
      <c r="L218" s="1"/>
      <c r="M218" s="1"/>
      <c r="N218" s="1"/>
      <c r="O218" s="1"/>
      <c r="P218" s="1"/>
      <c r="Q218" s="1"/>
      <c r="R218" s="1"/>
      <c r="S218" s="1"/>
      <c r="T218" s="1"/>
      <c r="U218" s="1"/>
      <c r="V218" s="1"/>
      <c r="W218" s="1"/>
      <c r="X218" s="1"/>
    </row>
    <row r="219" ht="15.75" customHeight="1">
      <c r="A219" s="1"/>
      <c r="B219" s="28"/>
      <c r="C219" s="28"/>
      <c r="D219" s="28"/>
      <c r="E219" s="28"/>
      <c r="F219" s="28"/>
      <c r="G219" s="34"/>
      <c r="H219" s="1"/>
      <c r="I219" s="1"/>
      <c r="J219" s="67"/>
      <c r="K219" s="68"/>
      <c r="L219" s="1"/>
      <c r="M219" s="1"/>
      <c r="N219" s="1"/>
      <c r="O219" s="1"/>
      <c r="P219" s="1"/>
      <c r="Q219" s="1"/>
      <c r="R219" s="1"/>
      <c r="S219" s="1"/>
      <c r="T219" s="1"/>
      <c r="U219" s="1"/>
      <c r="V219" s="1"/>
      <c r="W219" s="1"/>
      <c r="X219" s="1"/>
    </row>
    <row r="220" ht="15.75" customHeight="1">
      <c r="A220" s="1"/>
      <c r="B220" s="28"/>
      <c r="C220" s="28"/>
      <c r="D220" s="28"/>
      <c r="E220" s="28"/>
      <c r="F220" s="28"/>
      <c r="G220" s="34"/>
      <c r="H220" s="1"/>
      <c r="I220" s="1"/>
      <c r="J220" s="67"/>
      <c r="K220" s="68"/>
      <c r="L220" s="1"/>
      <c r="M220" s="1"/>
      <c r="N220" s="1"/>
      <c r="O220" s="1"/>
      <c r="P220" s="1"/>
      <c r="Q220" s="1"/>
      <c r="R220" s="1"/>
      <c r="S220" s="1"/>
      <c r="T220" s="1"/>
      <c r="U220" s="1"/>
      <c r="V220" s="1"/>
      <c r="W220" s="1"/>
      <c r="X220" s="1"/>
    </row>
    <row r="221" ht="15.75" customHeight="1">
      <c r="A221" s="1"/>
      <c r="B221" s="28"/>
      <c r="C221" s="28"/>
      <c r="D221" s="28"/>
      <c r="E221" s="28"/>
      <c r="F221" s="28"/>
      <c r="G221" s="34"/>
      <c r="H221" s="1"/>
      <c r="I221" s="1"/>
      <c r="J221" s="67"/>
      <c r="K221" s="68"/>
      <c r="L221" s="1"/>
      <c r="M221" s="1"/>
      <c r="N221" s="1"/>
      <c r="O221" s="1"/>
      <c r="P221" s="1"/>
      <c r="Q221" s="1"/>
      <c r="R221" s="1"/>
      <c r="S221" s="1"/>
      <c r="T221" s="1"/>
      <c r="U221" s="1"/>
      <c r="V221" s="1"/>
      <c r="W221" s="1"/>
      <c r="X221" s="1"/>
    </row>
    <row r="222" ht="15.75" customHeight="1">
      <c r="A222" s="1"/>
      <c r="B222" s="28"/>
      <c r="C222" s="28"/>
      <c r="D222" s="28"/>
      <c r="E222" s="28"/>
      <c r="F222" s="28"/>
      <c r="G222" s="34"/>
      <c r="H222" s="1"/>
      <c r="I222" s="1"/>
      <c r="J222" s="67"/>
      <c r="K222" s="68"/>
      <c r="L222" s="1"/>
      <c r="M222" s="1"/>
      <c r="N222" s="1"/>
      <c r="O222" s="1"/>
      <c r="P222" s="1"/>
      <c r="Q222" s="1"/>
      <c r="R222" s="1"/>
      <c r="S222" s="1"/>
      <c r="T222" s="1"/>
      <c r="U222" s="1"/>
      <c r="V222" s="1"/>
      <c r="W222" s="1"/>
      <c r="X222" s="1"/>
    </row>
    <row r="223" ht="15.75" customHeight="1">
      <c r="A223" s="1"/>
      <c r="B223" s="28"/>
      <c r="C223" s="28"/>
      <c r="D223" s="28"/>
      <c r="E223" s="28"/>
      <c r="F223" s="28"/>
      <c r="G223" s="34"/>
      <c r="H223" s="1"/>
      <c r="I223" s="1"/>
      <c r="J223" s="67"/>
      <c r="K223" s="68"/>
      <c r="L223" s="1"/>
      <c r="M223" s="1"/>
      <c r="N223" s="1"/>
      <c r="O223" s="1"/>
      <c r="P223" s="1"/>
      <c r="Q223" s="1"/>
      <c r="R223" s="1"/>
      <c r="S223" s="1"/>
      <c r="T223" s="1"/>
      <c r="U223" s="1"/>
      <c r="V223" s="1"/>
      <c r="W223" s="1"/>
      <c r="X223" s="1"/>
    </row>
    <row r="224" ht="15.75" customHeight="1">
      <c r="A224" s="1"/>
      <c r="B224" s="28"/>
      <c r="C224" s="28"/>
      <c r="D224" s="28"/>
      <c r="E224" s="28"/>
      <c r="F224" s="28"/>
      <c r="G224" s="34"/>
      <c r="H224" s="1"/>
      <c r="I224" s="1"/>
      <c r="J224" s="67"/>
      <c r="K224" s="68"/>
      <c r="L224" s="1"/>
      <c r="M224" s="1"/>
      <c r="N224" s="1"/>
      <c r="O224" s="1"/>
      <c r="P224" s="1"/>
      <c r="Q224" s="1"/>
      <c r="R224" s="1"/>
      <c r="S224" s="1"/>
      <c r="T224" s="1"/>
      <c r="U224" s="1"/>
      <c r="V224" s="1"/>
      <c r="W224" s="1"/>
      <c r="X224" s="1"/>
    </row>
    <row r="225" ht="15.75" customHeight="1">
      <c r="A225" s="1"/>
      <c r="B225" s="28"/>
      <c r="C225" s="28"/>
      <c r="D225" s="28"/>
      <c r="E225" s="28"/>
      <c r="F225" s="28"/>
      <c r="G225" s="34"/>
      <c r="H225" s="1"/>
      <c r="I225" s="1"/>
      <c r="J225" s="67"/>
      <c r="K225" s="68"/>
      <c r="L225" s="1"/>
      <c r="M225" s="1"/>
      <c r="N225" s="1"/>
      <c r="O225" s="1"/>
      <c r="P225" s="1"/>
      <c r="Q225" s="1"/>
      <c r="R225" s="1"/>
      <c r="S225" s="1"/>
      <c r="T225" s="1"/>
      <c r="U225" s="1"/>
      <c r="V225" s="1"/>
      <c r="W225" s="1"/>
      <c r="X225" s="1"/>
    </row>
    <row r="226" ht="15.75" customHeight="1">
      <c r="A226" s="1"/>
      <c r="B226" s="28"/>
      <c r="C226" s="28"/>
      <c r="D226" s="28"/>
      <c r="E226" s="28"/>
      <c r="F226" s="28"/>
      <c r="G226" s="34"/>
      <c r="H226" s="1"/>
      <c r="I226" s="1"/>
      <c r="J226" s="67"/>
      <c r="K226" s="68"/>
      <c r="L226" s="1"/>
      <c r="M226" s="1"/>
      <c r="N226" s="1"/>
      <c r="O226" s="1"/>
      <c r="P226" s="1"/>
      <c r="Q226" s="1"/>
      <c r="R226" s="1"/>
      <c r="S226" s="1"/>
      <c r="T226" s="1"/>
      <c r="U226" s="1"/>
      <c r="V226" s="1"/>
      <c r="W226" s="1"/>
      <c r="X226" s="1"/>
    </row>
    <row r="227" ht="15.75" customHeight="1">
      <c r="A227" s="1"/>
      <c r="B227" s="28"/>
      <c r="C227" s="28"/>
      <c r="D227" s="28"/>
      <c r="E227" s="28"/>
      <c r="F227" s="28"/>
      <c r="G227" s="34"/>
      <c r="H227" s="1"/>
      <c r="I227" s="1"/>
      <c r="J227" s="67"/>
      <c r="K227" s="68"/>
      <c r="L227" s="1"/>
      <c r="M227" s="1"/>
      <c r="N227" s="1"/>
      <c r="O227" s="1"/>
      <c r="P227" s="1"/>
      <c r="Q227" s="1"/>
      <c r="R227" s="1"/>
      <c r="S227" s="1"/>
      <c r="T227" s="1"/>
      <c r="U227" s="1"/>
      <c r="V227" s="1"/>
      <c r="W227" s="1"/>
      <c r="X227" s="1"/>
    </row>
    <row r="228" ht="15.75" customHeight="1">
      <c r="A228" s="1"/>
      <c r="B228" s="28"/>
      <c r="C228" s="28"/>
      <c r="D228" s="28"/>
      <c r="E228" s="28"/>
      <c r="F228" s="28"/>
      <c r="G228" s="34"/>
      <c r="H228" s="1"/>
      <c r="I228" s="1"/>
      <c r="J228" s="67"/>
      <c r="K228" s="68"/>
      <c r="L228" s="1"/>
      <c r="M228" s="1"/>
      <c r="N228" s="1"/>
      <c r="O228" s="1"/>
      <c r="P228" s="1"/>
      <c r="Q228" s="1"/>
      <c r="R228" s="1"/>
      <c r="S228" s="1"/>
      <c r="T228" s="1"/>
      <c r="U228" s="1"/>
      <c r="V228" s="1"/>
      <c r="W228" s="1"/>
      <c r="X228" s="1"/>
    </row>
    <row r="229" ht="15.75" customHeight="1">
      <c r="A229" s="1"/>
      <c r="B229" s="28"/>
      <c r="C229" s="28"/>
      <c r="D229" s="28"/>
      <c r="E229" s="28"/>
      <c r="F229" s="28"/>
      <c r="G229" s="34"/>
      <c r="H229" s="1"/>
      <c r="I229" s="1"/>
      <c r="J229" s="67"/>
      <c r="K229" s="68"/>
      <c r="L229" s="1"/>
      <c r="M229" s="1"/>
      <c r="N229" s="1"/>
      <c r="O229" s="1"/>
      <c r="P229" s="1"/>
      <c r="Q229" s="1"/>
      <c r="R229" s="1"/>
      <c r="S229" s="1"/>
      <c r="T229" s="1"/>
      <c r="U229" s="1"/>
      <c r="V229" s="1"/>
      <c r="W229" s="1"/>
      <c r="X229" s="1"/>
    </row>
    <row r="230" ht="15.75" customHeight="1">
      <c r="A230" s="1"/>
      <c r="B230" s="28"/>
      <c r="C230" s="28"/>
      <c r="D230" s="28"/>
      <c r="E230" s="28"/>
      <c r="F230" s="28"/>
      <c r="G230" s="34"/>
      <c r="H230" s="1"/>
      <c r="I230" s="1"/>
      <c r="J230" s="67"/>
      <c r="K230" s="68"/>
      <c r="L230" s="1"/>
      <c r="M230" s="1"/>
      <c r="N230" s="1"/>
      <c r="O230" s="1"/>
      <c r="P230" s="1"/>
      <c r="Q230" s="1"/>
      <c r="R230" s="1"/>
      <c r="S230" s="1"/>
      <c r="T230" s="1"/>
      <c r="U230" s="1"/>
      <c r="V230" s="1"/>
      <c r="W230" s="1"/>
      <c r="X230" s="1"/>
    </row>
    <row r="231" ht="15.75" customHeight="1">
      <c r="A231" s="1"/>
      <c r="B231" s="28"/>
      <c r="C231" s="28"/>
      <c r="D231" s="28"/>
      <c r="E231" s="28"/>
      <c r="F231" s="28"/>
      <c r="G231" s="34"/>
      <c r="H231" s="1"/>
      <c r="I231" s="1"/>
      <c r="J231" s="67"/>
      <c r="K231" s="68"/>
      <c r="L231" s="1"/>
      <c r="M231" s="1"/>
      <c r="N231" s="1"/>
      <c r="O231" s="1"/>
      <c r="P231" s="1"/>
      <c r="Q231" s="1"/>
      <c r="R231" s="1"/>
      <c r="S231" s="1"/>
      <c r="T231" s="1"/>
      <c r="U231" s="1"/>
      <c r="V231" s="1"/>
      <c r="W231" s="1"/>
      <c r="X231" s="1"/>
    </row>
    <row r="232" ht="15.75" customHeight="1">
      <c r="A232" s="1"/>
      <c r="B232" s="28"/>
      <c r="C232" s="28"/>
      <c r="D232" s="28"/>
      <c r="E232" s="28"/>
      <c r="F232" s="28"/>
      <c r="G232" s="34"/>
      <c r="H232" s="1"/>
      <c r="I232" s="1"/>
      <c r="J232" s="67"/>
      <c r="K232" s="68"/>
      <c r="L232" s="1"/>
      <c r="M232" s="1"/>
      <c r="N232" s="1"/>
      <c r="O232" s="1"/>
      <c r="P232" s="1"/>
      <c r="Q232" s="1"/>
      <c r="R232" s="1"/>
      <c r="S232" s="1"/>
      <c r="T232" s="1"/>
      <c r="U232" s="1"/>
      <c r="V232" s="1"/>
      <c r="W232" s="1"/>
      <c r="X232" s="1"/>
    </row>
    <row r="233" ht="15.75" customHeight="1">
      <c r="A233" s="1"/>
      <c r="B233" s="28"/>
      <c r="C233" s="28"/>
      <c r="D233" s="28"/>
      <c r="E233" s="28"/>
      <c r="F233" s="28"/>
      <c r="G233" s="34"/>
      <c r="H233" s="1"/>
      <c r="I233" s="1"/>
      <c r="J233" s="67"/>
      <c r="K233" s="68"/>
      <c r="L233" s="1"/>
      <c r="M233" s="1"/>
      <c r="N233" s="1"/>
      <c r="O233" s="1"/>
      <c r="P233" s="1"/>
      <c r="Q233" s="1"/>
      <c r="R233" s="1"/>
      <c r="S233" s="1"/>
      <c r="T233" s="1"/>
      <c r="U233" s="1"/>
      <c r="V233" s="1"/>
      <c r="W233" s="1"/>
      <c r="X233" s="1"/>
    </row>
    <row r="234" ht="15.75" customHeight="1">
      <c r="A234" s="1"/>
      <c r="B234" s="28"/>
      <c r="C234" s="28"/>
      <c r="D234" s="28"/>
      <c r="E234" s="28"/>
      <c r="F234" s="28"/>
      <c r="G234" s="34"/>
      <c r="H234" s="1"/>
      <c r="I234" s="1"/>
      <c r="J234" s="67"/>
      <c r="K234" s="68"/>
      <c r="L234" s="1"/>
      <c r="M234" s="1"/>
      <c r="N234" s="1"/>
      <c r="O234" s="1"/>
      <c r="P234" s="1"/>
      <c r="Q234" s="1"/>
      <c r="R234" s="1"/>
      <c r="S234" s="1"/>
      <c r="T234" s="1"/>
      <c r="U234" s="1"/>
      <c r="V234" s="1"/>
      <c r="W234" s="1"/>
      <c r="X234" s="1"/>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G1"/>
    <mergeCell ref="I1:N1"/>
    <mergeCell ref="B19:G1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5.75"/>
    <col customWidth="1" min="2" max="2" width="11.5"/>
    <col customWidth="1" min="3" max="3" width="10.25"/>
    <col customWidth="1" min="4" max="4" width="11.5"/>
    <col customWidth="1" min="5" max="6" width="10.0"/>
    <col customWidth="1" min="7" max="7" width="6.5"/>
    <col customWidth="1" min="9" max="9" width="14.75"/>
    <col customWidth="1" min="12" max="12" width="11.5"/>
    <col customWidth="1" min="13" max="15" width="9.75"/>
    <col customWidth="1" min="16" max="21" width="11.88"/>
    <col customWidth="1" min="22" max="22" width="8.25"/>
  </cols>
  <sheetData>
    <row r="1" ht="52.5" customHeight="1">
      <c r="A1" s="12" t="s">
        <v>4</v>
      </c>
      <c r="B1" s="12" t="s">
        <v>9</v>
      </c>
      <c r="C1" s="12" t="s">
        <v>11</v>
      </c>
      <c r="D1" s="12" t="s">
        <v>13</v>
      </c>
      <c r="E1" s="12" t="s">
        <v>14</v>
      </c>
      <c r="F1" s="17" t="s">
        <v>17</v>
      </c>
      <c r="G1" s="20" t="s">
        <v>20</v>
      </c>
      <c r="H1" s="12" t="s">
        <v>21</v>
      </c>
      <c r="I1" s="17" t="s">
        <v>23</v>
      </c>
      <c r="J1" s="24" t="s">
        <v>8</v>
      </c>
      <c r="K1" s="24" t="s">
        <v>27</v>
      </c>
      <c r="L1" s="12" t="s">
        <v>28</v>
      </c>
      <c r="M1" s="26" t="s">
        <v>29</v>
      </c>
      <c r="N1" s="26" t="s">
        <v>30</v>
      </c>
      <c r="O1" s="12" t="s">
        <v>31</v>
      </c>
      <c r="P1" s="17" t="s">
        <v>33</v>
      </c>
      <c r="Q1" s="24" t="s">
        <v>35</v>
      </c>
      <c r="R1" s="12" t="s">
        <v>10</v>
      </c>
      <c r="S1" s="12" t="s">
        <v>36</v>
      </c>
      <c r="T1" s="24" t="s">
        <v>15</v>
      </c>
      <c r="U1" s="24" t="s">
        <v>19</v>
      </c>
      <c r="V1" s="12" t="s">
        <v>38</v>
      </c>
      <c r="W1" s="12"/>
      <c r="X1" s="12"/>
      <c r="Y1" s="12"/>
    </row>
    <row r="2" ht="15.75" customHeight="1">
      <c r="A2" s="32" t="s">
        <v>40</v>
      </c>
      <c r="B2" s="32"/>
      <c r="C2" s="32"/>
      <c r="D2" s="32"/>
      <c r="E2" s="32"/>
      <c r="F2" s="35">
        <f>sum(F3:F5)</f>
        <v>0</v>
      </c>
      <c r="G2" s="39">
        <f>average(G3:G5)</f>
        <v>0.0004</v>
      </c>
      <c r="H2" s="32"/>
      <c r="I2" s="35">
        <f t="shared" ref="I2:J2" si="1">sum(I3:I5)</f>
        <v>400000000</v>
      </c>
      <c r="J2" s="42">
        <f t="shared" si="1"/>
        <v>52000</v>
      </c>
      <c r="K2" s="42">
        <f t="shared" ref="K2:K5" si="2">J2/(I2/1000)</f>
        <v>0.13</v>
      </c>
      <c r="L2" s="32"/>
      <c r="M2" s="46"/>
      <c r="N2" s="46"/>
      <c r="O2" s="47"/>
      <c r="P2" s="35">
        <f>sum(P3:P5)</f>
        <v>325000000</v>
      </c>
      <c r="Q2" s="42">
        <f t="shared" ref="Q2:Q7" si="3">J2/(P2/1000)</f>
        <v>0.16</v>
      </c>
      <c r="R2" s="32">
        <f>sum(R3:R5)</f>
        <v>425</v>
      </c>
      <c r="S2" s="42">
        <f t="shared" ref="S2:S7" si="4">J2/R2</f>
        <v>122.3529412</v>
      </c>
      <c r="T2" s="42">
        <f>sum(T3:T5)</f>
        <v>13000</v>
      </c>
      <c r="U2" s="42">
        <f t="shared" ref="U2:U7" si="5">J2/T2</f>
        <v>4</v>
      </c>
      <c r="V2" s="32"/>
      <c r="W2" s="53"/>
      <c r="X2" s="53"/>
      <c r="Y2" s="53"/>
    </row>
    <row r="3" ht="15.75" customHeight="1">
      <c r="A3" s="49" t="s">
        <v>58</v>
      </c>
      <c r="B3" s="49" t="s">
        <v>51</v>
      </c>
      <c r="C3" s="49" t="s">
        <v>52</v>
      </c>
      <c r="D3" s="49" t="s">
        <v>55</v>
      </c>
      <c r="E3" s="49" t="s">
        <v>56</v>
      </c>
      <c r="F3" s="52"/>
      <c r="G3" s="54">
        <v>4.0E-4</v>
      </c>
      <c r="H3" s="49" t="s">
        <v>60</v>
      </c>
      <c r="I3" s="52">
        <v>4.0E8</v>
      </c>
      <c r="J3" s="55">
        <v>52000.0</v>
      </c>
      <c r="K3" s="55">
        <f t="shared" si="2"/>
        <v>0.13</v>
      </c>
      <c r="L3" s="49" t="s">
        <v>63</v>
      </c>
      <c r="M3" s="51">
        <v>45664.0</v>
      </c>
      <c r="N3" s="51"/>
      <c r="O3" s="60"/>
      <c r="P3" s="52">
        <v>3.25E8</v>
      </c>
      <c r="Q3" s="55">
        <f t="shared" si="3"/>
        <v>0.16</v>
      </c>
      <c r="R3" s="49">
        <v>425.0</v>
      </c>
      <c r="S3" s="62">
        <f t="shared" si="4"/>
        <v>122.3529412</v>
      </c>
      <c r="T3" s="55">
        <v>13000.0</v>
      </c>
      <c r="U3" s="62">
        <f t="shared" si="5"/>
        <v>4</v>
      </c>
      <c r="V3" s="63" t="b">
        <v>1</v>
      </c>
      <c r="W3" s="48"/>
      <c r="X3" s="48"/>
      <c r="Y3" s="48"/>
    </row>
    <row r="4" ht="15.75" customHeight="1">
      <c r="A4" s="49"/>
      <c r="B4" s="49"/>
      <c r="C4" s="49"/>
      <c r="D4" s="49"/>
      <c r="E4" s="49"/>
      <c r="F4" s="52"/>
      <c r="G4" s="54"/>
      <c r="H4" s="49"/>
      <c r="I4" s="52"/>
      <c r="J4" s="55"/>
      <c r="K4" s="55" t="str">
        <f t="shared" si="2"/>
        <v>#DIV/0!</v>
      </c>
      <c r="L4" s="49"/>
      <c r="M4" s="51"/>
      <c r="N4" s="51"/>
      <c r="O4" s="60"/>
      <c r="P4" s="52"/>
      <c r="Q4" s="55" t="str">
        <f t="shared" si="3"/>
        <v>#DIV/0!</v>
      </c>
      <c r="R4" s="49"/>
      <c r="S4" s="62" t="str">
        <f t="shared" si="4"/>
        <v>#DIV/0!</v>
      </c>
      <c r="T4" s="55"/>
      <c r="U4" s="62" t="str">
        <f t="shared" si="5"/>
        <v>#DIV/0!</v>
      </c>
      <c r="V4" s="63" t="b">
        <v>0</v>
      </c>
      <c r="W4" s="48"/>
      <c r="X4" s="48"/>
      <c r="Y4" s="48"/>
    </row>
    <row r="5" ht="15.75" customHeight="1">
      <c r="A5" s="49"/>
      <c r="B5" s="49"/>
      <c r="C5" s="49"/>
      <c r="D5" s="49"/>
      <c r="E5" s="49"/>
      <c r="F5" s="52"/>
      <c r="G5" s="54"/>
      <c r="H5" s="49"/>
      <c r="I5" s="52"/>
      <c r="J5" s="55"/>
      <c r="K5" s="55" t="str">
        <f t="shared" si="2"/>
        <v>#DIV/0!</v>
      </c>
      <c r="L5" s="49"/>
      <c r="M5" s="51"/>
      <c r="N5" s="51"/>
      <c r="O5" s="60"/>
      <c r="P5" s="52"/>
      <c r="Q5" s="55" t="str">
        <f t="shared" si="3"/>
        <v>#DIV/0!</v>
      </c>
      <c r="R5" s="49"/>
      <c r="S5" s="62" t="str">
        <f t="shared" si="4"/>
        <v>#DIV/0!</v>
      </c>
      <c r="T5" s="55"/>
      <c r="U5" s="62" t="str">
        <f t="shared" si="5"/>
        <v>#DIV/0!</v>
      </c>
      <c r="V5" s="63" t="b">
        <v>0</v>
      </c>
      <c r="W5" s="48"/>
      <c r="X5" s="48"/>
      <c r="Y5" s="48"/>
    </row>
    <row r="6" ht="15.75" customHeight="1">
      <c r="A6" s="49"/>
      <c r="B6" s="49"/>
      <c r="C6" s="49"/>
      <c r="D6" s="49"/>
      <c r="E6" s="49"/>
      <c r="F6" s="52"/>
      <c r="G6" s="54"/>
      <c r="H6" s="49"/>
      <c r="I6" s="52"/>
      <c r="J6" s="55"/>
      <c r="K6" s="55"/>
      <c r="L6" s="49"/>
      <c r="M6" s="51"/>
      <c r="N6" s="51"/>
      <c r="O6" s="60"/>
      <c r="P6" s="52"/>
      <c r="Q6" s="55" t="str">
        <f t="shared" si="3"/>
        <v>#DIV/0!</v>
      </c>
      <c r="R6" s="49"/>
      <c r="S6" s="62" t="str">
        <f t="shared" si="4"/>
        <v>#DIV/0!</v>
      </c>
      <c r="T6" s="55"/>
      <c r="U6" s="62" t="str">
        <f t="shared" si="5"/>
        <v>#DIV/0!</v>
      </c>
      <c r="V6" s="63"/>
      <c r="W6" s="48"/>
      <c r="X6" s="48"/>
      <c r="Y6" s="48"/>
    </row>
    <row r="7" ht="15.75" customHeight="1">
      <c r="A7" s="32" t="s">
        <v>65</v>
      </c>
      <c r="B7" s="32"/>
      <c r="C7" s="32"/>
      <c r="D7" s="32"/>
      <c r="E7" s="32"/>
      <c r="F7" s="35">
        <f>sum(F8:F10)</f>
        <v>0</v>
      </c>
      <c r="G7" s="39" t="str">
        <f>average(G8:G10)</f>
        <v>#DIV/0!</v>
      </c>
      <c r="H7" s="32"/>
      <c r="I7" s="35">
        <f t="shared" ref="I7:J7" si="6">sum(I8:I10)</f>
        <v>0</v>
      </c>
      <c r="J7" s="42">
        <f t="shared" si="6"/>
        <v>0</v>
      </c>
      <c r="K7" s="42" t="str">
        <f t="shared" ref="K7:K10" si="7">J7/(I7/1000)</f>
        <v>#DIV/0!</v>
      </c>
      <c r="L7" s="32"/>
      <c r="M7" s="46"/>
      <c r="N7" s="46"/>
      <c r="O7" s="47"/>
      <c r="P7" s="35">
        <f>sum(P8:P10)</f>
        <v>0</v>
      </c>
      <c r="Q7" s="42" t="str">
        <f t="shared" si="3"/>
        <v>#DIV/0!</v>
      </c>
      <c r="R7" s="32">
        <f>sum(R8:R10)</f>
        <v>0</v>
      </c>
      <c r="S7" s="42" t="str">
        <f t="shared" si="4"/>
        <v>#DIV/0!</v>
      </c>
      <c r="T7" s="42">
        <f>sum(T8:T10)</f>
        <v>0</v>
      </c>
      <c r="U7" s="42" t="str">
        <f t="shared" si="5"/>
        <v>#DIV/0!</v>
      </c>
      <c r="V7" s="32"/>
      <c r="W7" s="53"/>
      <c r="X7" s="53"/>
      <c r="Y7" s="53"/>
    </row>
    <row r="8" ht="15.75" customHeight="1">
      <c r="A8" s="49"/>
      <c r="B8" s="49"/>
      <c r="C8" s="49"/>
      <c r="D8" s="49"/>
      <c r="E8" s="49"/>
      <c r="F8" s="52"/>
      <c r="G8" s="54"/>
      <c r="H8" s="49"/>
      <c r="I8" s="52"/>
      <c r="J8" s="55"/>
      <c r="K8" s="55" t="str">
        <f t="shared" si="7"/>
        <v>#DIV/0!</v>
      </c>
      <c r="L8" s="49"/>
      <c r="M8" s="51"/>
      <c r="N8" s="51"/>
      <c r="O8" s="60"/>
      <c r="P8" s="52"/>
      <c r="Q8" s="62"/>
      <c r="R8" s="49"/>
      <c r="S8" s="64"/>
      <c r="T8" s="55"/>
      <c r="U8" s="62"/>
      <c r="V8" s="63" t="b">
        <v>0</v>
      </c>
      <c r="W8" s="48"/>
      <c r="X8" s="48"/>
      <c r="Y8" s="48"/>
    </row>
    <row r="9" ht="15.75" customHeight="1">
      <c r="A9" s="49"/>
      <c r="B9" s="49"/>
      <c r="C9" s="49"/>
      <c r="D9" s="49"/>
      <c r="E9" s="49"/>
      <c r="F9" s="52"/>
      <c r="G9" s="54"/>
      <c r="H9" s="49"/>
      <c r="I9" s="52"/>
      <c r="J9" s="55"/>
      <c r="K9" s="55" t="str">
        <f t="shared" si="7"/>
        <v>#DIV/0!</v>
      </c>
      <c r="L9" s="49"/>
      <c r="M9" s="51"/>
      <c r="N9" s="51"/>
      <c r="O9" s="60"/>
      <c r="P9" s="52"/>
      <c r="Q9" s="62"/>
      <c r="R9" s="49"/>
      <c r="S9" s="64"/>
      <c r="T9" s="55"/>
      <c r="U9" s="62"/>
      <c r="V9" s="63" t="b">
        <v>0</v>
      </c>
      <c r="W9" s="48"/>
      <c r="X9" s="48"/>
      <c r="Y9" s="48"/>
    </row>
    <row r="10" ht="15.75" customHeight="1">
      <c r="A10" s="49"/>
      <c r="B10" s="49"/>
      <c r="C10" s="49"/>
      <c r="D10" s="49"/>
      <c r="E10" s="49"/>
      <c r="F10" s="52"/>
      <c r="G10" s="54"/>
      <c r="H10" s="49"/>
      <c r="I10" s="52"/>
      <c r="J10" s="55"/>
      <c r="K10" s="55" t="str">
        <f t="shared" si="7"/>
        <v>#DIV/0!</v>
      </c>
      <c r="L10" s="49"/>
      <c r="M10" s="51"/>
      <c r="N10" s="51"/>
      <c r="O10" s="60"/>
      <c r="P10" s="52"/>
      <c r="Q10" s="62"/>
      <c r="R10" s="49"/>
      <c r="S10" s="64"/>
      <c r="T10" s="55"/>
      <c r="U10" s="62"/>
      <c r="V10" s="63" t="b">
        <v>0</v>
      </c>
      <c r="W10" s="48"/>
      <c r="X10" s="48"/>
      <c r="Y10" s="48"/>
    </row>
    <row r="11" ht="15.75" customHeight="1">
      <c r="A11" s="49"/>
      <c r="B11" s="49"/>
      <c r="C11" s="49"/>
      <c r="D11" s="49"/>
      <c r="E11" s="49"/>
      <c r="F11" s="52"/>
      <c r="G11" s="54"/>
      <c r="H11" s="49"/>
      <c r="I11" s="52"/>
      <c r="J11" s="55"/>
      <c r="K11" s="55"/>
      <c r="L11" s="49"/>
      <c r="M11" s="51"/>
      <c r="N11" s="51"/>
      <c r="O11" s="60"/>
      <c r="P11" s="52"/>
      <c r="Q11" s="65"/>
      <c r="R11" s="49"/>
      <c r="S11" s="66"/>
      <c r="T11" s="55"/>
      <c r="U11" s="65"/>
      <c r="V11" s="63"/>
      <c r="W11" s="48"/>
      <c r="X11" s="48"/>
      <c r="Y11" s="48"/>
    </row>
    <row r="12" ht="15.75" customHeight="1">
      <c r="A12" s="32" t="s">
        <v>69</v>
      </c>
      <c r="B12" s="32"/>
      <c r="C12" s="32"/>
      <c r="D12" s="32"/>
      <c r="E12" s="32"/>
      <c r="F12" s="35">
        <f>sum(F13:F15)</f>
        <v>0</v>
      </c>
      <c r="G12" s="39" t="str">
        <f>average(G13:G15)</f>
        <v>#DIV/0!</v>
      </c>
      <c r="H12" s="32"/>
      <c r="I12" s="35">
        <f t="shared" ref="I12:J12" si="8">sum(I13:I15)</f>
        <v>0</v>
      </c>
      <c r="J12" s="42">
        <f t="shared" si="8"/>
        <v>0</v>
      </c>
      <c r="K12" s="42" t="str">
        <f t="shared" ref="K12:K15" si="9">J12/(I12/1000)</f>
        <v>#DIV/0!</v>
      </c>
      <c r="L12" s="32"/>
      <c r="M12" s="46"/>
      <c r="N12" s="46"/>
      <c r="O12" s="47"/>
      <c r="P12" s="35">
        <f>sum(P13:P15)</f>
        <v>0</v>
      </c>
      <c r="Q12" s="42" t="str">
        <f>J12/(P12/1000)</f>
        <v>#DIV/0!</v>
      </c>
      <c r="R12" s="32">
        <f>sum(R13:R15)</f>
        <v>0</v>
      </c>
      <c r="S12" s="42" t="str">
        <f>J12/R12</f>
        <v>#DIV/0!</v>
      </c>
      <c r="T12" s="42">
        <f>sum(T13:T15)</f>
        <v>0</v>
      </c>
      <c r="U12" s="42" t="str">
        <f>J12/T12</f>
        <v>#DIV/0!</v>
      </c>
      <c r="V12" s="32"/>
      <c r="W12" s="53"/>
      <c r="X12" s="53"/>
      <c r="Y12" s="53"/>
    </row>
    <row r="13" ht="15.75" customHeight="1">
      <c r="A13" s="49"/>
      <c r="B13" s="49"/>
      <c r="C13" s="49"/>
      <c r="D13" s="49"/>
      <c r="E13" s="49"/>
      <c r="F13" s="52"/>
      <c r="G13" s="54"/>
      <c r="H13" s="49"/>
      <c r="I13" s="52"/>
      <c r="J13" s="55"/>
      <c r="K13" s="55" t="str">
        <f t="shared" si="9"/>
        <v>#DIV/0!</v>
      </c>
      <c r="L13" s="49"/>
      <c r="M13" s="51"/>
      <c r="N13" s="51"/>
      <c r="O13" s="60"/>
      <c r="P13" s="52"/>
      <c r="Q13" s="62"/>
      <c r="R13" s="49"/>
      <c r="S13" s="64"/>
      <c r="T13" s="55"/>
      <c r="U13" s="62"/>
      <c r="V13" s="63" t="b">
        <v>0</v>
      </c>
      <c r="W13" s="48"/>
      <c r="X13" s="48"/>
      <c r="Y13" s="48"/>
    </row>
    <row r="14" ht="15.75" customHeight="1">
      <c r="A14" s="49"/>
      <c r="B14" s="49"/>
      <c r="C14" s="49"/>
      <c r="D14" s="49"/>
      <c r="E14" s="49"/>
      <c r="F14" s="52"/>
      <c r="G14" s="54"/>
      <c r="H14" s="49"/>
      <c r="I14" s="52"/>
      <c r="J14" s="55"/>
      <c r="K14" s="55" t="str">
        <f t="shared" si="9"/>
        <v>#DIV/0!</v>
      </c>
      <c r="L14" s="49"/>
      <c r="M14" s="51"/>
      <c r="N14" s="51"/>
      <c r="O14" s="60"/>
      <c r="P14" s="52"/>
      <c r="Q14" s="62"/>
      <c r="R14" s="49"/>
      <c r="S14" s="64"/>
      <c r="T14" s="55"/>
      <c r="U14" s="62"/>
      <c r="V14" s="63" t="b">
        <v>0</v>
      </c>
      <c r="W14" s="48"/>
      <c r="X14" s="48"/>
      <c r="Y14" s="48"/>
    </row>
    <row r="15" ht="15.75" customHeight="1">
      <c r="A15" s="49"/>
      <c r="B15" s="49"/>
      <c r="C15" s="49"/>
      <c r="D15" s="49"/>
      <c r="E15" s="49"/>
      <c r="F15" s="52"/>
      <c r="G15" s="54"/>
      <c r="H15" s="49"/>
      <c r="I15" s="52"/>
      <c r="J15" s="55"/>
      <c r="K15" s="55" t="str">
        <f t="shared" si="9"/>
        <v>#DIV/0!</v>
      </c>
      <c r="L15" s="49"/>
      <c r="M15" s="51"/>
      <c r="N15" s="51"/>
      <c r="O15" s="60"/>
      <c r="P15" s="52"/>
      <c r="Q15" s="62"/>
      <c r="R15" s="49"/>
      <c r="S15" s="64"/>
      <c r="T15" s="55"/>
      <c r="U15" s="62"/>
      <c r="V15" s="63" t="b">
        <v>0</v>
      </c>
      <c r="W15" s="48"/>
      <c r="X15" s="48"/>
      <c r="Y15" s="48"/>
    </row>
    <row r="16" ht="15.75" customHeight="1">
      <c r="A16" s="49"/>
      <c r="B16" s="49"/>
      <c r="C16" s="49"/>
      <c r="D16" s="49"/>
      <c r="E16" s="49"/>
      <c r="F16" s="52"/>
      <c r="G16" s="54"/>
      <c r="H16" s="49"/>
      <c r="I16" s="52"/>
      <c r="J16" s="55"/>
      <c r="K16" s="55"/>
      <c r="L16" s="49"/>
      <c r="M16" s="51"/>
      <c r="N16" s="51"/>
      <c r="O16" s="60"/>
      <c r="P16" s="52"/>
      <c r="Q16" s="65"/>
      <c r="R16" s="49"/>
      <c r="S16" s="66"/>
      <c r="T16" s="55"/>
      <c r="U16" s="65"/>
      <c r="V16" s="63"/>
      <c r="W16" s="48"/>
      <c r="X16" s="48"/>
      <c r="Y16" s="48"/>
    </row>
    <row r="17" ht="15.75" customHeight="1">
      <c r="A17" s="32" t="s">
        <v>73</v>
      </c>
      <c r="B17" s="32"/>
      <c r="C17" s="32"/>
      <c r="D17" s="32"/>
      <c r="E17" s="32"/>
      <c r="F17" s="35">
        <f>sum(F18:F20)</f>
        <v>0</v>
      </c>
      <c r="G17" s="39" t="str">
        <f>average(G18:G20)</f>
        <v>#DIV/0!</v>
      </c>
      <c r="H17" s="32"/>
      <c r="I17" s="35">
        <f t="shared" ref="I17:J17" si="10">sum(I18:I20)</f>
        <v>0</v>
      </c>
      <c r="J17" s="42">
        <f t="shared" si="10"/>
        <v>0</v>
      </c>
      <c r="K17" s="42" t="str">
        <f t="shared" ref="K17:K20" si="11">J17/(I17/1000)</f>
        <v>#DIV/0!</v>
      </c>
      <c r="L17" s="32"/>
      <c r="M17" s="46"/>
      <c r="N17" s="46"/>
      <c r="O17" s="47"/>
      <c r="P17" s="35">
        <f>sum(P18:P20)</f>
        <v>0</v>
      </c>
      <c r="Q17" s="42" t="str">
        <f>J17/(P17/1000)</f>
        <v>#DIV/0!</v>
      </c>
      <c r="R17" s="32">
        <f>sum(R18:R20)</f>
        <v>0</v>
      </c>
      <c r="S17" s="42" t="str">
        <f>J17/R17</f>
        <v>#DIV/0!</v>
      </c>
      <c r="T17" s="42">
        <f>sum(T18:T20)</f>
        <v>0</v>
      </c>
      <c r="U17" s="42" t="str">
        <f>J17/T17</f>
        <v>#DIV/0!</v>
      </c>
      <c r="V17" s="32"/>
      <c r="W17" s="53"/>
      <c r="X17" s="53"/>
      <c r="Y17" s="53"/>
    </row>
    <row r="18" ht="15.75" customHeight="1">
      <c r="A18" s="49"/>
      <c r="B18" s="49"/>
      <c r="C18" s="49"/>
      <c r="D18" s="49"/>
      <c r="E18" s="49"/>
      <c r="F18" s="52"/>
      <c r="G18" s="54"/>
      <c r="H18" s="49"/>
      <c r="I18" s="52"/>
      <c r="J18" s="55"/>
      <c r="K18" s="55" t="str">
        <f t="shared" si="11"/>
        <v>#DIV/0!</v>
      </c>
      <c r="L18" s="49"/>
      <c r="M18" s="51"/>
      <c r="N18" s="51"/>
      <c r="O18" s="60"/>
      <c r="P18" s="52"/>
      <c r="Q18" s="62"/>
      <c r="R18" s="49"/>
      <c r="S18" s="64"/>
      <c r="T18" s="55"/>
      <c r="U18" s="62"/>
      <c r="V18" s="63" t="b">
        <v>0</v>
      </c>
      <c r="W18" s="48"/>
      <c r="X18" s="48"/>
      <c r="Y18" s="48"/>
    </row>
    <row r="19" ht="15.75" customHeight="1">
      <c r="A19" s="49"/>
      <c r="B19" s="49"/>
      <c r="C19" s="49"/>
      <c r="D19" s="49"/>
      <c r="E19" s="49"/>
      <c r="F19" s="52"/>
      <c r="G19" s="54"/>
      <c r="H19" s="49"/>
      <c r="I19" s="52"/>
      <c r="J19" s="55"/>
      <c r="K19" s="55" t="str">
        <f t="shared" si="11"/>
        <v>#DIV/0!</v>
      </c>
      <c r="L19" s="49"/>
      <c r="M19" s="51"/>
      <c r="N19" s="51"/>
      <c r="O19" s="60"/>
      <c r="P19" s="52"/>
      <c r="Q19" s="62"/>
      <c r="R19" s="49"/>
      <c r="S19" s="64"/>
      <c r="T19" s="55"/>
      <c r="U19" s="62"/>
      <c r="V19" s="63" t="b">
        <v>0</v>
      </c>
      <c r="W19" s="48"/>
      <c r="X19" s="48"/>
      <c r="Y19" s="48"/>
    </row>
    <row r="20" ht="15.75" customHeight="1">
      <c r="A20" s="49"/>
      <c r="B20" s="49"/>
      <c r="C20" s="49"/>
      <c r="D20" s="49"/>
      <c r="E20" s="49"/>
      <c r="F20" s="52"/>
      <c r="G20" s="54"/>
      <c r="H20" s="49"/>
      <c r="I20" s="52"/>
      <c r="J20" s="55"/>
      <c r="K20" s="55" t="str">
        <f t="shared" si="11"/>
        <v>#DIV/0!</v>
      </c>
      <c r="L20" s="49"/>
      <c r="M20" s="51"/>
      <c r="N20" s="51"/>
      <c r="O20" s="60"/>
      <c r="P20" s="52"/>
      <c r="Q20" s="62"/>
      <c r="R20" s="49"/>
      <c r="S20" s="64"/>
      <c r="T20" s="55"/>
      <c r="U20" s="62"/>
      <c r="V20" s="63" t="b">
        <v>0</v>
      </c>
      <c r="W20" s="48"/>
      <c r="X20" s="48"/>
      <c r="Y20" s="48"/>
    </row>
    <row r="21" ht="15.75" customHeight="1">
      <c r="A21" s="49"/>
      <c r="B21" s="49"/>
      <c r="C21" s="49"/>
      <c r="D21" s="49"/>
      <c r="E21" s="49"/>
      <c r="F21" s="52"/>
      <c r="G21" s="54"/>
      <c r="H21" s="49"/>
      <c r="I21" s="52"/>
      <c r="J21" s="55"/>
      <c r="K21" s="55"/>
      <c r="L21" s="49"/>
      <c r="M21" s="51"/>
      <c r="N21" s="51"/>
      <c r="O21" s="60"/>
      <c r="P21" s="52"/>
      <c r="Q21" s="65"/>
      <c r="R21" s="49"/>
      <c r="S21" s="66"/>
      <c r="T21" s="55"/>
      <c r="U21" s="65"/>
      <c r="V21" s="63"/>
      <c r="W21" s="48"/>
      <c r="X21" s="48"/>
      <c r="Y21" s="48"/>
    </row>
    <row r="22" ht="15.75" customHeight="1">
      <c r="A22" s="32" t="s">
        <v>76</v>
      </c>
      <c r="B22" s="32"/>
      <c r="C22" s="32"/>
      <c r="D22" s="32"/>
      <c r="E22" s="32"/>
      <c r="F22" s="35">
        <f>sum(F23:F25)</f>
        <v>0</v>
      </c>
      <c r="G22" s="39" t="str">
        <f>average(G23:G25)</f>
        <v>#DIV/0!</v>
      </c>
      <c r="H22" s="32"/>
      <c r="I22" s="35">
        <f t="shared" ref="I22:J22" si="12">sum(I23:I25)</f>
        <v>0</v>
      </c>
      <c r="J22" s="42">
        <f t="shared" si="12"/>
        <v>0</v>
      </c>
      <c r="K22" s="42" t="str">
        <f t="shared" ref="K22:K25" si="13">J22/(I22/1000)</f>
        <v>#DIV/0!</v>
      </c>
      <c r="L22" s="32"/>
      <c r="M22" s="46"/>
      <c r="N22" s="46"/>
      <c r="O22" s="47"/>
      <c r="P22" s="35">
        <f>sum(P23:P25)</f>
        <v>0</v>
      </c>
      <c r="Q22" s="42" t="str">
        <f>J22/(P22/1000)</f>
        <v>#DIV/0!</v>
      </c>
      <c r="R22" s="32">
        <f>sum(R23:R25)</f>
        <v>0</v>
      </c>
      <c r="S22" s="42" t="str">
        <f>J22/R22</f>
        <v>#DIV/0!</v>
      </c>
      <c r="T22" s="42">
        <f>sum(T23:T25)</f>
        <v>0</v>
      </c>
      <c r="U22" s="42" t="str">
        <f>J22/T22</f>
        <v>#DIV/0!</v>
      </c>
      <c r="V22" s="32"/>
      <c r="W22" s="53"/>
      <c r="X22" s="53"/>
      <c r="Y22" s="53"/>
    </row>
    <row r="23" ht="15.75" customHeight="1">
      <c r="A23" s="49"/>
      <c r="B23" s="49"/>
      <c r="C23" s="49"/>
      <c r="D23" s="49"/>
      <c r="E23" s="49"/>
      <c r="F23" s="52"/>
      <c r="G23" s="54"/>
      <c r="H23" s="49"/>
      <c r="I23" s="52"/>
      <c r="J23" s="55"/>
      <c r="K23" s="55" t="str">
        <f t="shared" si="13"/>
        <v>#DIV/0!</v>
      </c>
      <c r="L23" s="49"/>
      <c r="M23" s="51"/>
      <c r="N23" s="51"/>
      <c r="O23" s="60"/>
      <c r="P23" s="52"/>
      <c r="Q23" s="62"/>
      <c r="R23" s="49"/>
      <c r="S23" s="64"/>
      <c r="T23" s="55"/>
      <c r="U23" s="62"/>
      <c r="V23" s="63" t="b">
        <v>0</v>
      </c>
      <c r="W23" s="48"/>
      <c r="X23" s="48"/>
      <c r="Y23" s="48"/>
    </row>
    <row r="24" ht="15.75" customHeight="1">
      <c r="A24" s="49"/>
      <c r="B24" s="49"/>
      <c r="C24" s="49"/>
      <c r="D24" s="49"/>
      <c r="E24" s="49"/>
      <c r="F24" s="52"/>
      <c r="G24" s="54"/>
      <c r="H24" s="49"/>
      <c r="I24" s="52"/>
      <c r="J24" s="55"/>
      <c r="K24" s="55" t="str">
        <f t="shared" si="13"/>
        <v>#DIV/0!</v>
      </c>
      <c r="L24" s="49"/>
      <c r="M24" s="51"/>
      <c r="N24" s="51"/>
      <c r="O24" s="60"/>
      <c r="P24" s="52"/>
      <c r="Q24" s="62"/>
      <c r="R24" s="49"/>
      <c r="S24" s="64"/>
      <c r="T24" s="55"/>
      <c r="U24" s="62"/>
      <c r="V24" s="63" t="b">
        <v>0</v>
      </c>
      <c r="W24" s="48"/>
      <c r="X24" s="48"/>
      <c r="Y24" s="48"/>
    </row>
    <row r="25" ht="15.75" customHeight="1">
      <c r="A25" s="49"/>
      <c r="B25" s="49"/>
      <c r="C25" s="49"/>
      <c r="D25" s="49"/>
      <c r="E25" s="49"/>
      <c r="F25" s="52"/>
      <c r="G25" s="54"/>
      <c r="H25" s="49"/>
      <c r="I25" s="52"/>
      <c r="J25" s="55"/>
      <c r="K25" s="55" t="str">
        <f t="shared" si="13"/>
        <v>#DIV/0!</v>
      </c>
      <c r="L25" s="49"/>
      <c r="M25" s="51"/>
      <c r="N25" s="51"/>
      <c r="O25" s="60"/>
      <c r="P25" s="52"/>
      <c r="Q25" s="62"/>
      <c r="R25" s="49"/>
      <c r="S25" s="64"/>
      <c r="T25" s="55"/>
      <c r="U25" s="62"/>
      <c r="V25" s="63" t="b">
        <v>0</v>
      </c>
      <c r="W25" s="48"/>
      <c r="X25" s="48"/>
      <c r="Y25" s="48"/>
    </row>
    <row r="26" ht="15.75" customHeight="1">
      <c r="A26" s="49"/>
      <c r="B26" s="49"/>
      <c r="C26" s="49"/>
      <c r="D26" s="49"/>
      <c r="E26" s="49"/>
      <c r="F26" s="52"/>
      <c r="G26" s="54"/>
      <c r="H26" s="49"/>
      <c r="I26" s="52"/>
      <c r="J26" s="55"/>
      <c r="K26" s="55"/>
      <c r="L26" s="49"/>
      <c r="M26" s="51"/>
      <c r="N26" s="51"/>
      <c r="O26" s="60"/>
      <c r="P26" s="52"/>
      <c r="Q26" s="65"/>
      <c r="R26" s="49"/>
      <c r="S26" s="66"/>
      <c r="T26" s="55"/>
      <c r="U26" s="65"/>
      <c r="V26" s="63"/>
      <c r="W26" s="48"/>
      <c r="X26" s="48"/>
      <c r="Y26" s="48"/>
    </row>
    <row r="27" ht="15.75" customHeight="1">
      <c r="A27" s="32" t="s">
        <v>78</v>
      </c>
      <c r="B27" s="32"/>
      <c r="C27" s="32"/>
      <c r="D27" s="32"/>
      <c r="E27" s="32"/>
      <c r="F27" s="35">
        <f>sum(F28:F30)</f>
        <v>0</v>
      </c>
      <c r="G27" s="39" t="str">
        <f>average(G28:G30)</f>
        <v>#DIV/0!</v>
      </c>
      <c r="H27" s="32"/>
      <c r="I27" s="35">
        <f t="shared" ref="I27:J27" si="14">sum(I28:I30)</f>
        <v>0</v>
      </c>
      <c r="J27" s="42">
        <f t="shared" si="14"/>
        <v>0</v>
      </c>
      <c r="K27" s="42" t="str">
        <f t="shared" ref="K27:K30" si="15">J27/(I27/1000)</f>
        <v>#DIV/0!</v>
      </c>
      <c r="L27" s="32"/>
      <c r="M27" s="46"/>
      <c r="N27" s="46"/>
      <c r="O27" s="47"/>
      <c r="P27" s="35">
        <f>sum(P28:P30)</f>
        <v>0</v>
      </c>
      <c r="Q27" s="42" t="str">
        <f>J27/(P27/1000)</f>
        <v>#DIV/0!</v>
      </c>
      <c r="R27" s="32">
        <f>sum(R28:R30)</f>
        <v>0</v>
      </c>
      <c r="S27" s="42" t="str">
        <f>J27/R27</f>
        <v>#DIV/0!</v>
      </c>
      <c r="T27" s="42">
        <f>sum(T28:T30)</f>
        <v>0</v>
      </c>
      <c r="U27" s="42" t="str">
        <f>J27/T27</f>
        <v>#DIV/0!</v>
      </c>
      <c r="V27" s="32"/>
      <c r="W27" s="53"/>
      <c r="X27" s="53"/>
      <c r="Y27" s="53"/>
    </row>
    <row r="28" ht="15.75" customHeight="1">
      <c r="A28" s="49"/>
      <c r="B28" s="49"/>
      <c r="C28" s="49"/>
      <c r="D28" s="49"/>
      <c r="E28" s="49"/>
      <c r="F28" s="52"/>
      <c r="G28" s="54"/>
      <c r="H28" s="49"/>
      <c r="I28" s="52"/>
      <c r="J28" s="55"/>
      <c r="K28" s="55" t="str">
        <f t="shared" si="15"/>
        <v>#DIV/0!</v>
      </c>
      <c r="L28" s="49"/>
      <c r="M28" s="51"/>
      <c r="N28" s="51"/>
      <c r="O28" s="60"/>
      <c r="P28" s="52"/>
      <c r="Q28" s="62"/>
      <c r="R28" s="49"/>
      <c r="S28" s="64"/>
      <c r="T28" s="55"/>
      <c r="U28" s="62"/>
      <c r="V28" s="63" t="b">
        <v>0</v>
      </c>
      <c r="W28" s="48"/>
      <c r="X28" s="48"/>
      <c r="Y28" s="48"/>
    </row>
    <row r="29" ht="15.75" customHeight="1">
      <c r="A29" s="49"/>
      <c r="B29" s="49"/>
      <c r="C29" s="49"/>
      <c r="D29" s="49"/>
      <c r="E29" s="49"/>
      <c r="F29" s="52"/>
      <c r="G29" s="54"/>
      <c r="H29" s="49"/>
      <c r="I29" s="52"/>
      <c r="J29" s="55"/>
      <c r="K29" s="55" t="str">
        <f t="shared" si="15"/>
        <v>#DIV/0!</v>
      </c>
      <c r="L29" s="49"/>
      <c r="M29" s="51"/>
      <c r="N29" s="51"/>
      <c r="O29" s="60"/>
      <c r="P29" s="52"/>
      <c r="Q29" s="62"/>
      <c r="R29" s="49"/>
      <c r="S29" s="64"/>
      <c r="T29" s="55"/>
      <c r="U29" s="62"/>
      <c r="V29" s="63" t="b">
        <v>0</v>
      </c>
      <c r="W29" s="48"/>
      <c r="X29" s="48"/>
      <c r="Y29" s="48"/>
    </row>
    <row r="30" ht="15.75" customHeight="1">
      <c r="A30" s="49"/>
      <c r="B30" s="49"/>
      <c r="C30" s="49"/>
      <c r="D30" s="49"/>
      <c r="E30" s="49"/>
      <c r="F30" s="52"/>
      <c r="G30" s="54"/>
      <c r="H30" s="49"/>
      <c r="I30" s="52"/>
      <c r="J30" s="55"/>
      <c r="K30" s="55" t="str">
        <f t="shared" si="15"/>
        <v>#DIV/0!</v>
      </c>
      <c r="L30" s="49"/>
      <c r="M30" s="51"/>
      <c r="N30" s="51"/>
      <c r="O30" s="60"/>
      <c r="P30" s="52"/>
      <c r="Q30" s="62"/>
      <c r="R30" s="49"/>
      <c r="S30" s="64"/>
      <c r="T30" s="55"/>
      <c r="U30" s="62"/>
      <c r="V30" s="63" t="b">
        <v>0</v>
      </c>
      <c r="W30" s="48"/>
      <c r="X30" s="48"/>
      <c r="Y30" s="48"/>
    </row>
    <row r="31" ht="15.75" customHeight="1">
      <c r="A31" s="49"/>
      <c r="B31" s="49"/>
      <c r="C31" s="49"/>
      <c r="D31" s="49"/>
      <c r="E31" s="49"/>
      <c r="F31" s="52"/>
      <c r="G31" s="54"/>
      <c r="H31" s="49"/>
      <c r="I31" s="52"/>
      <c r="J31" s="55"/>
      <c r="K31" s="55"/>
      <c r="L31" s="49"/>
      <c r="M31" s="51"/>
      <c r="N31" s="51"/>
      <c r="O31" s="60"/>
      <c r="P31" s="52"/>
      <c r="Q31" s="65"/>
      <c r="R31" s="49"/>
      <c r="S31" s="66"/>
      <c r="T31" s="55"/>
      <c r="U31" s="65"/>
      <c r="V31" s="63"/>
      <c r="W31" s="48"/>
      <c r="X31" s="48"/>
      <c r="Y31" s="48"/>
    </row>
    <row r="32" ht="15.75" customHeight="1">
      <c r="A32" s="32" t="s">
        <v>88</v>
      </c>
      <c r="B32" s="32"/>
      <c r="C32" s="32"/>
      <c r="D32" s="32"/>
      <c r="E32" s="32"/>
      <c r="F32" s="35">
        <f>sum(F33:F35)</f>
        <v>0</v>
      </c>
      <c r="G32" s="39" t="str">
        <f>average(G33:G35)</f>
        <v>#DIV/0!</v>
      </c>
      <c r="H32" s="32"/>
      <c r="I32" s="35">
        <f t="shared" ref="I32:J32" si="16">sum(I33:I35)</f>
        <v>0</v>
      </c>
      <c r="J32" s="42">
        <f t="shared" si="16"/>
        <v>0</v>
      </c>
      <c r="K32" s="42" t="str">
        <f t="shared" ref="K32:K35" si="17">J32/(I32/1000)</f>
        <v>#DIV/0!</v>
      </c>
      <c r="L32" s="32"/>
      <c r="M32" s="46"/>
      <c r="N32" s="46"/>
      <c r="O32" s="47"/>
      <c r="P32" s="35">
        <f>sum(P33:P35)</f>
        <v>0</v>
      </c>
      <c r="Q32" s="42" t="str">
        <f>J32/(P32/1000)</f>
        <v>#DIV/0!</v>
      </c>
      <c r="R32" s="32">
        <f>sum(R33:R35)</f>
        <v>0</v>
      </c>
      <c r="S32" s="42" t="str">
        <f>J32/R32</f>
        <v>#DIV/0!</v>
      </c>
      <c r="T32" s="42">
        <f>sum(T33:T35)</f>
        <v>0</v>
      </c>
      <c r="U32" s="42" t="str">
        <f>J32/T32</f>
        <v>#DIV/0!</v>
      </c>
      <c r="V32" s="32"/>
      <c r="W32" s="53"/>
      <c r="X32" s="53"/>
      <c r="Y32" s="53"/>
    </row>
    <row r="33" ht="15.75" customHeight="1">
      <c r="A33" s="49"/>
      <c r="B33" s="49"/>
      <c r="C33" s="49"/>
      <c r="D33" s="49"/>
      <c r="E33" s="49"/>
      <c r="F33" s="52"/>
      <c r="G33" s="54"/>
      <c r="H33" s="49"/>
      <c r="I33" s="52"/>
      <c r="J33" s="55"/>
      <c r="K33" s="55" t="str">
        <f t="shared" si="17"/>
        <v>#DIV/0!</v>
      </c>
      <c r="L33" s="49"/>
      <c r="M33" s="51"/>
      <c r="N33" s="51"/>
      <c r="O33" s="60"/>
      <c r="P33" s="52"/>
      <c r="Q33" s="62"/>
      <c r="R33" s="49"/>
      <c r="S33" s="64"/>
      <c r="T33" s="55"/>
      <c r="U33" s="62"/>
      <c r="V33" s="63" t="b">
        <v>0</v>
      </c>
      <c r="W33" s="48"/>
      <c r="X33" s="48"/>
      <c r="Y33" s="48"/>
    </row>
    <row r="34" ht="15.75" customHeight="1">
      <c r="A34" s="49"/>
      <c r="B34" s="49"/>
      <c r="C34" s="49"/>
      <c r="D34" s="49"/>
      <c r="E34" s="49"/>
      <c r="F34" s="52"/>
      <c r="G34" s="54"/>
      <c r="H34" s="49"/>
      <c r="I34" s="52"/>
      <c r="J34" s="55"/>
      <c r="K34" s="55" t="str">
        <f t="shared" si="17"/>
        <v>#DIV/0!</v>
      </c>
      <c r="L34" s="49"/>
      <c r="M34" s="51"/>
      <c r="N34" s="51"/>
      <c r="O34" s="60"/>
      <c r="P34" s="52"/>
      <c r="Q34" s="62"/>
      <c r="R34" s="49"/>
      <c r="S34" s="64"/>
      <c r="T34" s="55"/>
      <c r="U34" s="62"/>
      <c r="V34" s="63" t="b">
        <v>0</v>
      </c>
      <c r="W34" s="48"/>
      <c r="X34" s="48"/>
      <c r="Y34" s="48"/>
    </row>
    <row r="35" ht="15.75" customHeight="1">
      <c r="A35" s="49"/>
      <c r="B35" s="49"/>
      <c r="C35" s="49"/>
      <c r="D35" s="49"/>
      <c r="E35" s="49"/>
      <c r="F35" s="52"/>
      <c r="G35" s="54"/>
      <c r="H35" s="49"/>
      <c r="I35" s="52"/>
      <c r="J35" s="55"/>
      <c r="K35" s="55" t="str">
        <f t="shared" si="17"/>
        <v>#DIV/0!</v>
      </c>
      <c r="L35" s="49"/>
      <c r="M35" s="51"/>
      <c r="N35" s="51"/>
      <c r="O35" s="60"/>
      <c r="P35" s="52"/>
      <c r="Q35" s="62"/>
      <c r="R35" s="49"/>
      <c r="S35" s="64"/>
      <c r="T35" s="55"/>
      <c r="U35" s="62"/>
      <c r="V35" s="63" t="b">
        <v>0</v>
      </c>
      <c r="W35" s="48"/>
      <c r="X35" s="48"/>
      <c r="Y35" s="48"/>
    </row>
    <row r="36" ht="15.75" customHeight="1">
      <c r="A36" s="49"/>
      <c r="B36" s="49"/>
      <c r="C36" s="49"/>
      <c r="D36" s="49"/>
      <c r="E36" s="49"/>
      <c r="F36" s="52"/>
      <c r="G36" s="54"/>
      <c r="H36" s="49"/>
      <c r="I36" s="52"/>
      <c r="J36" s="55"/>
      <c r="K36" s="55"/>
      <c r="L36" s="49"/>
      <c r="M36" s="51"/>
      <c r="N36" s="51"/>
      <c r="O36" s="60"/>
      <c r="P36" s="52"/>
      <c r="Q36" s="65"/>
      <c r="R36" s="49"/>
      <c r="S36" s="66"/>
      <c r="T36" s="55"/>
      <c r="U36" s="65"/>
      <c r="V36" s="63"/>
      <c r="W36" s="48"/>
      <c r="X36" s="48"/>
      <c r="Y36" s="48"/>
    </row>
    <row r="37" ht="15.75" customHeight="1">
      <c r="A37" s="32" t="s">
        <v>94</v>
      </c>
      <c r="B37" s="32"/>
      <c r="C37" s="32"/>
      <c r="D37" s="32"/>
      <c r="E37" s="32"/>
      <c r="F37" s="35">
        <f>sum(F38:F40)</f>
        <v>0</v>
      </c>
      <c r="G37" s="39" t="str">
        <f>average(G38:G40)</f>
        <v>#DIV/0!</v>
      </c>
      <c r="H37" s="32"/>
      <c r="I37" s="35">
        <f t="shared" ref="I37:J37" si="18">sum(I38:I40)</f>
        <v>0</v>
      </c>
      <c r="J37" s="42">
        <f t="shared" si="18"/>
        <v>0</v>
      </c>
      <c r="K37" s="42" t="str">
        <f t="shared" ref="K37:K40" si="19">J37/(I37/1000)</f>
        <v>#DIV/0!</v>
      </c>
      <c r="L37" s="32"/>
      <c r="M37" s="46"/>
      <c r="N37" s="46"/>
      <c r="O37" s="47"/>
      <c r="P37" s="35">
        <f>sum(P38:P40)</f>
        <v>0</v>
      </c>
      <c r="Q37" s="42" t="str">
        <f>J37/(P37/1000)</f>
        <v>#DIV/0!</v>
      </c>
      <c r="R37" s="32">
        <f>sum(R38:R40)</f>
        <v>0</v>
      </c>
      <c r="S37" s="42" t="str">
        <f>J37/R37</f>
        <v>#DIV/0!</v>
      </c>
      <c r="T37" s="42">
        <f>sum(T38:T40)</f>
        <v>0</v>
      </c>
      <c r="U37" s="42" t="str">
        <f>J37/T37</f>
        <v>#DIV/0!</v>
      </c>
      <c r="V37" s="32"/>
      <c r="W37" s="53"/>
      <c r="X37" s="53"/>
      <c r="Y37" s="53"/>
    </row>
    <row r="38" ht="15.75" customHeight="1">
      <c r="A38" s="49"/>
      <c r="B38" s="49"/>
      <c r="C38" s="49"/>
      <c r="D38" s="49"/>
      <c r="E38" s="49"/>
      <c r="F38" s="52"/>
      <c r="G38" s="54"/>
      <c r="H38" s="49"/>
      <c r="I38" s="52"/>
      <c r="J38" s="55"/>
      <c r="K38" s="55" t="str">
        <f t="shared" si="19"/>
        <v>#DIV/0!</v>
      </c>
      <c r="L38" s="49"/>
      <c r="M38" s="51"/>
      <c r="N38" s="51"/>
      <c r="O38" s="60"/>
      <c r="P38" s="52"/>
      <c r="Q38" s="62"/>
      <c r="R38" s="49"/>
      <c r="S38" s="64"/>
      <c r="T38" s="55"/>
      <c r="U38" s="62"/>
      <c r="V38" s="63" t="b">
        <v>0</v>
      </c>
      <c r="W38" s="48"/>
      <c r="X38" s="48"/>
      <c r="Y38" s="48"/>
    </row>
    <row r="39" ht="15.75" customHeight="1">
      <c r="A39" s="49"/>
      <c r="B39" s="49"/>
      <c r="C39" s="49"/>
      <c r="D39" s="49"/>
      <c r="E39" s="49"/>
      <c r="F39" s="52"/>
      <c r="G39" s="54"/>
      <c r="H39" s="49"/>
      <c r="I39" s="52"/>
      <c r="J39" s="55"/>
      <c r="K39" s="55" t="str">
        <f t="shared" si="19"/>
        <v>#DIV/0!</v>
      </c>
      <c r="L39" s="49"/>
      <c r="M39" s="51"/>
      <c r="N39" s="51"/>
      <c r="O39" s="60"/>
      <c r="P39" s="52"/>
      <c r="Q39" s="62"/>
      <c r="R39" s="49"/>
      <c r="S39" s="64"/>
      <c r="T39" s="55"/>
      <c r="U39" s="62"/>
      <c r="V39" s="63" t="b">
        <v>0</v>
      </c>
      <c r="W39" s="48"/>
      <c r="X39" s="48"/>
      <c r="Y39" s="48"/>
    </row>
    <row r="40" ht="15.75" customHeight="1">
      <c r="A40" s="49"/>
      <c r="B40" s="49"/>
      <c r="C40" s="49"/>
      <c r="D40" s="49"/>
      <c r="E40" s="49"/>
      <c r="F40" s="52"/>
      <c r="G40" s="54"/>
      <c r="H40" s="49"/>
      <c r="I40" s="52"/>
      <c r="J40" s="55"/>
      <c r="K40" s="55" t="str">
        <f t="shared" si="19"/>
        <v>#DIV/0!</v>
      </c>
      <c r="L40" s="49"/>
      <c r="M40" s="51"/>
      <c r="N40" s="51"/>
      <c r="O40" s="60"/>
      <c r="P40" s="52"/>
      <c r="Q40" s="62"/>
      <c r="R40" s="49"/>
      <c r="S40" s="64"/>
      <c r="T40" s="55"/>
      <c r="U40" s="62"/>
      <c r="V40" s="63" t="b">
        <v>0</v>
      </c>
      <c r="W40" s="48"/>
      <c r="X40" s="48"/>
      <c r="Y40" s="48"/>
    </row>
    <row r="41" ht="15.75" customHeight="1">
      <c r="A41" s="49"/>
      <c r="B41" s="49"/>
      <c r="C41" s="49"/>
      <c r="D41" s="49"/>
      <c r="E41" s="49"/>
      <c r="F41" s="52"/>
      <c r="G41" s="54"/>
      <c r="H41" s="49"/>
      <c r="I41" s="52"/>
      <c r="J41" s="55"/>
      <c r="K41" s="55"/>
      <c r="L41" s="49"/>
      <c r="M41" s="51"/>
      <c r="N41" s="51"/>
      <c r="O41" s="60"/>
      <c r="P41" s="52"/>
      <c r="Q41" s="65"/>
      <c r="R41" s="49"/>
      <c r="S41" s="66"/>
      <c r="T41" s="55"/>
      <c r="U41" s="65"/>
      <c r="V41" s="63"/>
      <c r="W41" s="48"/>
      <c r="X41" s="48"/>
      <c r="Y41" s="48"/>
    </row>
    <row r="42" ht="15.75" customHeight="1">
      <c r="A42" s="32" t="s">
        <v>101</v>
      </c>
      <c r="B42" s="32"/>
      <c r="C42" s="32"/>
      <c r="D42" s="32"/>
      <c r="E42" s="32"/>
      <c r="F42" s="35">
        <f>sum(F43:F45)</f>
        <v>0</v>
      </c>
      <c r="G42" s="39" t="str">
        <f>average(G43:G45)</f>
        <v>#DIV/0!</v>
      </c>
      <c r="H42" s="32"/>
      <c r="I42" s="35">
        <f t="shared" ref="I42:J42" si="20">sum(I43:I45)</f>
        <v>0</v>
      </c>
      <c r="J42" s="42">
        <f t="shared" si="20"/>
        <v>0</v>
      </c>
      <c r="K42" s="42" t="str">
        <f t="shared" ref="K42:K45" si="21">J42/(I42/1000)</f>
        <v>#DIV/0!</v>
      </c>
      <c r="L42" s="32"/>
      <c r="M42" s="46"/>
      <c r="N42" s="46"/>
      <c r="O42" s="47"/>
      <c r="P42" s="35">
        <f>sum(P43:P45)</f>
        <v>0</v>
      </c>
      <c r="Q42" s="42" t="str">
        <f>J42/(P42/1000)</f>
        <v>#DIV/0!</v>
      </c>
      <c r="R42" s="32">
        <f>sum(R43:R45)</f>
        <v>0</v>
      </c>
      <c r="S42" s="42" t="str">
        <f>J42/R42</f>
        <v>#DIV/0!</v>
      </c>
      <c r="T42" s="42">
        <f>sum(T43:T45)</f>
        <v>0</v>
      </c>
      <c r="U42" s="42" t="str">
        <f>J42/T42</f>
        <v>#DIV/0!</v>
      </c>
      <c r="V42" s="32"/>
      <c r="W42" s="53"/>
      <c r="X42" s="53"/>
      <c r="Y42" s="53"/>
    </row>
    <row r="43" ht="15.75" customHeight="1">
      <c r="A43" s="49"/>
      <c r="B43" s="49"/>
      <c r="C43" s="49"/>
      <c r="D43" s="49"/>
      <c r="E43" s="49"/>
      <c r="F43" s="52"/>
      <c r="G43" s="54"/>
      <c r="H43" s="49"/>
      <c r="I43" s="52"/>
      <c r="J43" s="55"/>
      <c r="K43" s="55" t="str">
        <f t="shared" si="21"/>
        <v>#DIV/0!</v>
      </c>
      <c r="L43" s="49"/>
      <c r="M43" s="51"/>
      <c r="N43" s="51"/>
      <c r="O43" s="60"/>
      <c r="P43" s="52"/>
      <c r="Q43" s="62"/>
      <c r="R43" s="49"/>
      <c r="S43" s="64"/>
      <c r="T43" s="55"/>
      <c r="U43" s="62"/>
      <c r="V43" s="63" t="b">
        <v>0</v>
      </c>
      <c r="W43" s="48"/>
      <c r="X43" s="48"/>
      <c r="Y43" s="48"/>
    </row>
    <row r="44" ht="15.75" customHeight="1">
      <c r="A44" s="49"/>
      <c r="B44" s="49"/>
      <c r="C44" s="49"/>
      <c r="D44" s="49"/>
      <c r="E44" s="49"/>
      <c r="F44" s="52"/>
      <c r="G44" s="54"/>
      <c r="H44" s="49"/>
      <c r="I44" s="52"/>
      <c r="J44" s="55"/>
      <c r="K44" s="55" t="str">
        <f t="shared" si="21"/>
        <v>#DIV/0!</v>
      </c>
      <c r="L44" s="49"/>
      <c r="M44" s="51"/>
      <c r="N44" s="51"/>
      <c r="O44" s="60"/>
      <c r="P44" s="52"/>
      <c r="Q44" s="62"/>
      <c r="R44" s="49"/>
      <c r="S44" s="64"/>
      <c r="T44" s="55"/>
      <c r="U44" s="62"/>
      <c r="V44" s="63" t="b">
        <v>0</v>
      </c>
      <c r="W44" s="48"/>
      <c r="X44" s="48"/>
      <c r="Y44" s="48"/>
    </row>
    <row r="45" ht="15.75" customHeight="1">
      <c r="A45" s="49"/>
      <c r="B45" s="49"/>
      <c r="C45" s="49"/>
      <c r="D45" s="49"/>
      <c r="E45" s="49"/>
      <c r="F45" s="52"/>
      <c r="G45" s="54"/>
      <c r="H45" s="49"/>
      <c r="I45" s="52"/>
      <c r="J45" s="55"/>
      <c r="K45" s="55" t="str">
        <f t="shared" si="21"/>
        <v>#DIV/0!</v>
      </c>
      <c r="L45" s="49"/>
      <c r="M45" s="51"/>
      <c r="N45" s="51"/>
      <c r="O45" s="60"/>
      <c r="P45" s="52"/>
      <c r="Q45" s="62"/>
      <c r="R45" s="49"/>
      <c r="S45" s="64"/>
      <c r="T45" s="55"/>
      <c r="U45" s="62"/>
      <c r="V45" s="63" t="b">
        <v>0</v>
      </c>
      <c r="W45" s="48"/>
      <c r="X45" s="48"/>
      <c r="Y45" s="48"/>
    </row>
    <row r="46" ht="15.75" customHeight="1">
      <c r="A46" s="49"/>
      <c r="B46" s="49"/>
      <c r="C46" s="49"/>
      <c r="D46" s="49"/>
      <c r="E46" s="49"/>
      <c r="F46" s="52"/>
      <c r="G46" s="54"/>
      <c r="H46" s="49"/>
      <c r="I46" s="52"/>
      <c r="J46" s="55"/>
      <c r="K46" s="55"/>
      <c r="L46" s="49"/>
      <c r="M46" s="51"/>
      <c r="N46" s="51"/>
      <c r="O46" s="60"/>
      <c r="P46" s="52"/>
      <c r="Q46" s="65"/>
      <c r="R46" s="49"/>
      <c r="S46" s="66"/>
      <c r="T46" s="55"/>
      <c r="U46" s="65"/>
      <c r="V46" s="63"/>
      <c r="W46" s="48"/>
      <c r="X46" s="48"/>
      <c r="Y46" s="48"/>
    </row>
    <row r="47" ht="15.75" customHeight="1">
      <c r="A47" s="32" t="s">
        <v>112</v>
      </c>
      <c r="B47" s="32"/>
      <c r="C47" s="32"/>
      <c r="D47" s="32"/>
      <c r="E47" s="32"/>
      <c r="F47" s="35">
        <f>sum(F48:F50)</f>
        <v>0</v>
      </c>
      <c r="G47" s="39" t="str">
        <f>average(G48:G50)</f>
        <v>#DIV/0!</v>
      </c>
      <c r="H47" s="32"/>
      <c r="I47" s="35">
        <f t="shared" ref="I47:J47" si="22">sum(I48:I50)</f>
        <v>0</v>
      </c>
      <c r="J47" s="42">
        <f t="shared" si="22"/>
        <v>0</v>
      </c>
      <c r="K47" s="42" t="str">
        <f t="shared" ref="K47:K50" si="23">J47/(I47/1000)</f>
        <v>#DIV/0!</v>
      </c>
      <c r="L47" s="32"/>
      <c r="M47" s="46"/>
      <c r="N47" s="46"/>
      <c r="O47" s="47"/>
      <c r="P47" s="35">
        <f>sum(P48:P50)</f>
        <v>0</v>
      </c>
      <c r="Q47" s="42" t="str">
        <f>J47/(P47/1000)</f>
        <v>#DIV/0!</v>
      </c>
      <c r="R47" s="32">
        <f>sum(R48:R50)</f>
        <v>0</v>
      </c>
      <c r="S47" s="42" t="str">
        <f>J47/R47</f>
        <v>#DIV/0!</v>
      </c>
      <c r="T47" s="42">
        <f>sum(T48:T50)</f>
        <v>0</v>
      </c>
      <c r="U47" s="42" t="str">
        <f>J47/T47</f>
        <v>#DIV/0!</v>
      </c>
      <c r="V47" s="32"/>
      <c r="W47" s="53"/>
      <c r="X47" s="53"/>
      <c r="Y47" s="53"/>
    </row>
    <row r="48" ht="15.75" customHeight="1">
      <c r="A48" s="49"/>
      <c r="B48" s="49"/>
      <c r="C48" s="49"/>
      <c r="D48" s="49"/>
      <c r="E48" s="49"/>
      <c r="F48" s="52"/>
      <c r="G48" s="54"/>
      <c r="H48" s="49"/>
      <c r="I48" s="52"/>
      <c r="J48" s="55"/>
      <c r="K48" s="55" t="str">
        <f t="shared" si="23"/>
        <v>#DIV/0!</v>
      </c>
      <c r="L48" s="49"/>
      <c r="M48" s="51"/>
      <c r="N48" s="51"/>
      <c r="O48" s="60"/>
      <c r="P48" s="52"/>
      <c r="Q48" s="62"/>
      <c r="R48" s="49"/>
      <c r="S48" s="64"/>
      <c r="T48" s="55"/>
      <c r="U48" s="62"/>
      <c r="V48" s="63" t="b">
        <v>0</v>
      </c>
      <c r="W48" s="48"/>
      <c r="X48" s="48"/>
      <c r="Y48" s="48"/>
    </row>
    <row r="49" ht="15.75" customHeight="1">
      <c r="A49" s="49"/>
      <c r="B49" s="49"/>
      <c r="C49" s="49"/>
      <c r="D49" s="49"/>
      <c r="E49" s="49"/>
      <c r="F49" s="52"/>
      <c r="G49" s="54"/>
      <c r="H49" s="49"/>
      <c r="I49" s="52"/>
      <c r="J49" s="55"/>
      <c r="K49" s="55" t="str">
        <f t="shared" si="23"/>
        <v>#DIV/0!</v>
      </c>
      <c r="L49" s="49"/>
      <c r="M49" s="51"/>
      <c r="N49" s="51"/>
      <c r="O49" s="60"/>
      <c r="P49" s="52"/>
      <c r="Q49" s="62"/>
      <c r="R49" s="49"/>
      <c r="S49" s="64"/>
      <c r="T49" s="55"/>
      <c r="U49" s="62"/>
      <c r="V49" s="63" t="b">
        <v>0</v>
      </c>
      <c r="W49" s="48"/>
      <c r="X49" s="48"/>
      <c r="Y49" s="48"/>
    </row>
    <row r="50" ht="15.75" customHeight="1">
      <c r="A50" s="49"/>
      <c r="B50" s="49"/>
      <c r="C50" s="49"/>
      <c r="D50" s="49"/>
      <c r="E50" s="49"/>
      <c r="F50" s="52"/>
      <c r="G50" s="54"/>
      <c r="H50" s="49"/>
      <c r="I50" s="52"/>
      <c r="J50" s="55"/>
      <c r="K50" s="55" t="str">
        <f t="shared" si="23"/>
        <v>#DIV/0!</v>
      </c>
      <c r="L50" s="49"/>
      <c r="M50" s="51"/>
      <c r="N50" s="51"/>
      <c r="O50" s="60"/>
      <c r="P50" s="52"/>
      <c r="Q50" s="62"/>
      <c r="R50" s="49"/>
      <c r="S50" s="64"/>
      <c r="T50" s="55"/>
      <c r="U50" s="62"/>
      <c r="V50" s="63" t="b">
        <v>0</v>
      </c>
      <c r="W50" s="48"/>
      <c r="X50" s="48"/>
      <c r="Y50" s="48"/>
    </row>
    <row r="51" ht="15.75" customHeight="1">
      <c r="A51" s="49"/>
      <c r="B51" s="49"/>
      <c r="C51" s="49"/>
      <c r="D51" s="49"/>
      <c r="E51" s="49"/>
      <c r="F51" s="52"/>
      <c r="G51" s="54"/>
      <c r="H51" s="49"/>
      <c r="I51" s="52"/>
      <c r="J51" s="55"/>
      <c r="K51" s="55"/>
      <c r="L51" s="49"/>
      <c r="M51" s="51"/>
      <c r="N51" s="51"/>
      <c r="O51" s="60"/>
      <c r="P51" s="52"/>
      <c r="Q51" s="65"/>
      <c r="R51" s="49"/>
      <c r="S51" s="66"/>
      <c r="T51" s="55"/>
      <c r="U51" s="65"/>
      <c r="V51" s="63"/>
      <c r="W51" s="48"/>
      <c r="X51" s="48"/>
      <c r="Y51" s="48"/>
    </row>
    <row r="52" ht="15.75" customHeight="1">
      <c r="A52" s="32" t="s">
        <v>113</v>
      </c>
      <c r="B52" s="32"/>
      <c r="C52" s="32"/>
      <c r="D52" s="32"/>
      <c r="E52" s="32"/>
      <c r="F52" s="35">
        <f>sum(F53:F55)</f>
        <v>0</v>
      </c>
      <c r="G52" s="39" t="str">
        <f>average(G53:G55)</f>
        <v>#DIV/0!</v>
      </c>
      <c r="H52" s="32"/>
      <c r="I52" s="35">
        <f t="shared" ref="I52:J52" si="24">sum(I53:I55)</f>
        <v>0</v>
      </c>
      <c r="J52" s="42">
        <f t="shared" si="24"/>
        <v>0</v>
      </c>
      <c r="K52" s="42" t="str">
        <f t="shared" ref="K52:K55" si="25">J52/(I52/1000)</f>
        <v>#DIV/0!</v>
      </c>
      <c r="L52" s="32"/>
      <c r="M52" s="46"/>
      <c r="N52" s="46"/>
      <c r="O52" s="47"/>
      <c r="P52" s="35">
        <f>sum(P53:P55)</f>
        <v>0</v>
      </c>
      <c r="Q52" s="42" t="str">
        <f>J52/(P52/1000)</f>
        <v>#DIV/0!</v>
      </c>
      <c r="R52" s="32">
        <f>sum(R53:R55)</f>
        <v>0</v>
      </c>
      <c r="S52" s="42" t="str">
        <f>J52/R52</f>
        <v>#DIV/0!</v>
      </c>
      <c r="T52" s="42">
        <f>sum(T53:T55)</f>
        <v>0</v>
      </c>
      <c r="U52" s="42" t="str">
        <f>J52/T52</f>
        <v>#DIV/0!</v>
      </c>
      <c r="V52" s="32"/>
      <c r="W52" s="53"/>
      <c r="X52" s="53"/>
      <c r="Y52" s="53"/>
    </row>
    <row r="53" ht="15.75" customHeight="1">
      <c r="A53" s="49"/>
      <c r="B53" s="49"/>
      <c r="C53" s="49"/>
      <c r="D53" s="49"/>
      <c r="E53" s="49"/>
      <c r="F53" s="52"/>
      <c r="G53" s="54"/>
      <c r="H53" s="49"/>
      <c r="I53" s="52"/>
      <c r="J53" s="55"/>
      <c r="K53" s="55" t="str">
        <f t="shared" si="25"/>
        <v>#DIV/0!</v>
      </c>
      <c r="L53" s="49"/>
      <c r="M53" s="51"/>
      <c r="N53" s="51"/>
      <c r="O53" s="60"/>
      <c r="P53" s="52"/>
      <c r="Q53" s="62"/>
      <c r="R53" s="49"/>
      <c r="S53" s="64"/>
      <c r="T53" s="55"/>
      <c r="U53" s="62"/>
      <c r="V53" s="63" t="b">
        <v>0</v>
      </c>
      <c r="W53" s="48"/>
      <c r="X53" s="48"/>
      <c r="Y53" s="48"/>
    </row>
    <row r="54" ht="15.75" customHeight="1">
      <c r="A54" s="49"/>
      <c r="B54" s="49"/>
      <c r="C54" s="49"/>
      <c r="D54" s="49"/>
      <c r="E54" s="49"/>
      <c r="F54" s="52"/>
      <c r="G54" s="54"/>
      <c r="H54" s="49"/>
      <c r="I54" s="52"/>
      <c r="J54" s="55"/>
      <c r="K54" s="55" t="str">
        <f t="shared" si="25"/>
        <v>#DIV/0!</v>
      </c>
      <c r="L54" s="49"/>
      <c r="M54" s="51"/>
      <c r="N54" s="51"/>
      <c r="O54" s="60"/>
      <c r="P54" s="52"/>
      <c r="Q54" s="62"/>
      <c r="R54" s="49"/>
      <c r="S54" s="64"/>
      <c r="T54" s="55"/>
      <c r="U54" s="62"/>
      <c r="V54" s="63" t="b">
        <v>0</v>
      </c>
      <c r="W54" s="48"/>
      <c r="X54" s="48"/>
      <c r="Y54" s="48"/>
    </row>
    <row r="55" ht="15.75" customHeight="1">
      <c r="A55" s="49"/>
      <c r="B55" s="49"/>
      <c r="C55" s="49"/>
      <c r="D55" s="49"/>
      <c r="E55" s="49"/>
      <c r="F55" s="52"/>
      <c r="G55" s="54"/>
      <c r="H55" s="49"/>
      <c r="I55" s="52"/>
      <c r="J55" s="55"/>
      <c r="K55" s="55" t="str">
        <f t="shared" si="25"/>
        <v>#DIV/0!</v>
      </c>
      <c r="L55" s="49"/>
      <c r="M55" s="51"/>
      <c r="N55" s="51"/>
      <c r="O55" s="60"/>
      <c r="P55" s="52"/>
      <c r="Q55" s="62"/>
      <c r="R55" s="49"/>
      <c r="S55" s="64"/>
      <c r="T55" s="55"/>
      <c r="U55" s="62"/>
      <c r="V55" s="63" t="b">
        <v>0</v>
      </c>
      <c r="W55" s="48"/>
      <c r="X55" s="48"/>
      <c r="Y55" s="48"/>
    </row>
    <row r="56" ht="15.75" customHeight="1">
      <c r="A56" s="49"/>
      <c r="B56" s="49"/>
      <c r="C56" s="49"/>
      <c r="D56" s="49"/>
      <c r="E56" s="49"/>
      <c r="F56" s="52"/>
      <c r="G56" s="54"/>
      <c r="H56" s="49"/>
      <c r="I56" s="52"/>
      <c r="J56" s="55"/>
      <c r="K56" s="55"/>
      <c r="L56" s="49"/>
      <c r="M56" s="51"/>
      <c r="N56" s="51"/>
      <c r="O56" s="60"/>
      <c r="P56" s="52"/>
      <c r="Q56" s="65"/>
      <c r="R56" s="49"/>
      <c r="S56" s="66"/>
      <c r="T56" s="55"/>
      <c r="U56" s="65"/>
      <c r="V56" s="63"/>
      <c r="W56" s="48"/>
      <c r="X56" s="48"/>
      <c r="Y56" s="48"/>
    </row>
    <row r="57" ht="15.75" customHeight="1">
      <c r="A57" s="32" t="s">
        <v>114</v>
      </c>
      <c r="B57" s="32"/>
      <c r="C57" s="32"/>
      <c r="D57" s="32"/>
      <c r="E57" s="32"/>
      <c r="F57" s="35">
        <f>sum(F58:F60)</f>
        <v>0</v>
      </c>
      <c r="G57" s="39" t="str">
        <f>average(G58:G60)</f>
        <v>#DIV/0!</v>
      </c>
      <c r="H57" s="32"/>
      <c r="I57" s="35">
        <f t="shared" ref="I57:J57" si="26">sum(I58:I60)</f>
        <v>0</v>
      </c>
      <c r="J57" s="42">
        <f t="shared" si="26"/>
        <v>0</v>
      </c>
      <c r="K57" s="42" t="str">
        <f t="shared" ref="K57:K60" si="28">J57/(I57/1000)</f>
        <v>#DIV/0!</v>
      </c>
      <c r="L57" s="32"/>
      <c r="M57" s="46"/>
      <c r="N57" s="46"/>
      <c r="O57" s="47"/>
      <c r="P57" s="35">
        <f>sum(P58:P60)</f>
        <v>0</v>
      </c>
      <c r="Q57" s="42" t="str">
        <f>J57/(P57/1000)</f>
        <v>#DIV/0!</v>
      </c>
      <c r="R57" s="32">
        <f>sum(R58:R60)</f>
        <v>0</v>
      </c>
      <c r="S57" s="42" t="str">
        <f>J57/R57</f>
        <v>#DIV/0!</v>
      </c>
      <c r="T57" s="42">
        <f>sum(T58:T60)</f>
        <v>0</v>
      </c>
      <c r="U57" s="42" t="str">
        <f>J57/T57</f>
        <v>#DIV/0!</v>
      </c>
      <c r="V57" s="32"/>
      <c r="W57" s="53"/>
      <c r="X57" s="53"/>
      <c r="Y57" s="53"/>
    </row>
    <row r="58" ht="15.75" customHeight="1">
      <c r="A58" s="49"/>
      <c r="B58" s="49"/>
      <c r="C58" s="49"/>
      <c r="D58" s="49"/>
      <c r="E58" s="49"/>
      <c r="F58" s="52"/>
      <c r="G58" s="54"/>
      <c r="H58" s="49"/>
      <c r="I58" s="52">
        <f t="shared" ref="I58:J58" si="27">sum(I59:I61)</f>
        <v>0</v>
      </c>
      <c r="J58" s="55">
        <f t="shared" si="27"/>
        <v>0</v>
      </c>
      <c r="K58" s="55" t="str">
        <f t="shared" si="28"/>
        <v>#DIV/0!</v>
      </c>
      <c r="L58" s="49"/>
      <c r="M58" s="51"/>
      <c r="N58" s="51"/>
      <c r="O58" s="60"/>
      <c r="P58" s="52"/>
      <c r="Q58" s="62"/>
      <c r="R58" s="49"/>
      <c r="S58" s="64"/>
      <c r="T58" s="55"/>
      <c r="U58" s="62"/>
      <c r="V58" s="63" t="b">
        <v>0</v>
      </c>
      <c r="W58" s="48"/>
      <c r="X58" s="48"/>
      <c r="Y58" s="48"/>
    </row>
    <row r="59" ht="15.75" customHeight="1">
      <c r="A59" s="49"/>
      <c r="B59" s="49"/>
      <c r="C59" s="49"/>
      <c r="D59" s="49"/>
      <c r="E59" s="49"/>
      <c r="F59" s="52"/>
      <c r="G59" s="54"/>
      <c r="H59" s="49"/>
      <c r="I59" s="52">
        <f t="shared" ref="I59:J59" si="29">sum(I60:I62)</f>
        <v>0</v>
      </c>
      <c r="J59" s="55">
        <f t="shared" si="29"/>
        <v>0</v>
      </c>
      <c r="K59" s="55" t="str">
        <f t="shared" si="28"/>
        <v>#DIV/0!</v>
      </c>
      <c r="L59" s="49"/>
      <c r="M59" s="51"/>
      <c r="N59" s="51"/>
      <c r="O59" s="60"/>
      <c r="P59" s="52"/>
      <c r="Q59" s="62"/>
      <c r="R59" s="49"/>
      <c r="S59" s="64"/>
      <c r="T59" s="55"/>
      <c r="U59" s="62"/>
      <c r="V59" s="63" t="b">
        <v>0</v>
      </c>
      <c r="W59" s="48"/>
      <c r="X59" s="48"/>
      <c r="Y59" s="48"/>
    </row>
    <row r="60" ht="15.75" customHeight="1">
      <c r="A60" s="49"/>
      <c r="B60" s="49"/>
      <c r="C60" s="49"/>
      <c r="D60" s="49"/>
      <c r="E60" s="49"/>
      <c r="F60" s="52"/>
      <c r="G60" s="54"/>
      <c r="H60" s="49"/>
      <c r="I60" s="52">
        <f t="shared" ref="I60:J60" si="30">sum(I61:I63)</f>
        <v>0</v>
      </c>
      <c r="J60" s="55">
        <f t="shared" si="30"/>
        <v>0</v>
      </c>
      <c r="K60" s="55" t="str">
        <f t="shared" si="28"/>
        <v>#DIV/0!</v>
      </c>
      <c r="L60" s="49"/>
      <c r="M60" s="51"/>
      <c r="N60" s="51"/>
      <c r="O60" s="60"/>
      <c r="P60" s="52"/>
      <c r="Q60" s="62"/>
      <c r="R60" s="49"/>
      <c r="S60" s="64"/>
      <c r="T60" s="55"/>
      <c r="U60" s="62"/>
      <c r="V60" s="63" t="b">
        <v>0</v>
      </c>
      <c r="W60" s="48"/>
      <c r="X60" s="48"/>
      <c r="Y60" s="48"/>
    </row>
    <row r="61" ht="15.75" customHeight="1">
      <c r="A61" s="49"/>
      <c r="B61" s="49"/>
      <c r="C61" s="49"/>
      <c r="D61" s="49"/>
      <c r="E61" s="49"/>
      <c r="F61" s="52"/>
      <c r="G61" s="54"/>
      <c r="H61" s="49"/>
      <c r="I61" s="52"/>
      <c r="J61" s="55"/>
      <c r="K61" s="55"/>
      <c r="L61" s="49"/>
      <c r="M61" s="51"/>
      <c r="N61" s="51"/>
      <c r="O61" s="60"/>
      <c r="P61" s="52"/>
      <c r="Q61" s="65"/>
      <c r="R61" s="49"/>
      <c r="S61" s="66"/>
      <c r="T61" s="55"/>
      <c r="U61" s="65"/>
      <c r="V61" s="63"/>
      <c r="W61" s="48"/>
      <c r="X61" s="48"/>
      <c r="Y61" s="48"/>
    </row>
    <row r="62" ht="15.75" customHeight="1">
      <c r="A62" s="85"/>
      <c r="B62" s="85"/>
      <c r="C62" s="85"/>
      <c r="D62" s="85"/>
      <c r="E62" s="86"/>
      <c r="F62" s="87"/>
      <c r="G62" s="88"/>
      <c r="H62" s="86"/>
      <c r="I62" s="87"/>
      <c r="J62" s="89"/>
      <c r="K62" s="89"/>
      <c r="L62" s="85"/>
      <c r="M62" s="90"/>
      <c r="N62" s="90"/>
      <c r="O62" s="91"/>
      <c r="P62" s="87"/>
      <c r="Q62" s="89"/>
      <c r="R62" s="86"/>
      <c r="S62" s="92"/>
      <c r="T62" s="89"/>
      <c r="U62" s="93"/>
      <c r="V62" s="86"/>
      <c r="W62" s="94"/>
      <c r="X62" s="94"/>
      <c r="Y62" s="94"/>
    </row>
    <row r="63" ht="15.75" customHeight="1">
      <c r="A63" s="28"/>
      <c r="B63" s="28"/>
      <c r="C63" s="28"/>
      <c r="D63" s="28"/>
      <c r="E63" s="28"/>
      <c r="F63" s="45"/>
      <c r="G63" s="50"/>
      <c r="H63" s="28"/>
      <c r="I63" s="45"/>
      <c r="J63" s="34"/>
      <c r="K63" s="34"/>
      <c r="L63" s="28"/>
      <c r="M63" s="80"/>
      <c r="N63" s="80"/>
      <c r="O63" s="95"/>
      <c r="P63" s="45"/>
      <c r="Q63" s="96"/>
      <c r="R63" s="28"/>
      <c r="S63" s="97"/>
      <c r="T63" s="34"/>
      <c r="U63" s="96"/>
      <c r="V63" s="98"/>
      <c r="W63" s="1"/>
      <c r="X63" s="1"/>
      <c r="Y63" s="1"/>
    </row>
    <row r="64" ht="15.75" customHeight="1">
      <c r="A64" s="28"/>
      <c r="B64" s="28"/>
      <c r="C64" s="28"/>
      <c r="D64" s="28"/>
      <c r="E64" s="28"/>
      <c r="F64" s="45"/>
      <c r="G64" s="50"/>
      <c r="H64" s="28"/>
      <c r="I64" s="45"/>
      <c r="J64" s="34"/>
      <c r="K64" s="34"/>
      <c r="L64" s="28"/>
      <c r="M64" s="80"/>
      <c r="N64" s="80"/>
      <c r="O64" s="95"/>
      <c r="P64" s="45"/>
      <c r="Q64" s="96"/>
      <c r="R64" s="28"/>
      <c r="S64" s="97"/>
      <c r="T64" s="34"/>
      <c r="U64" s="96"/>
      <c r="V64" s="98"/>
      <c r="W64" s="1"/>
      <c r="X64" s="1"/>
      <c r="Y64" s="1"/>
    </row>
    <row r="65" ht="15.75" customHeight="1">
      <c r="A65" s="28"/>
      <c r="B65" s="28"/>
      <c r="C65" s="28"/>
      <c r="D65" s="28"/>
      <c r="E65" s="28"/>
      <c r="F65" s="45"/>
      <c r="G65" s="50"/>
      <c r="H65" s="28"/>
      <c r="I65" s="45"/>
      <c r="J65" s="34"/>
      <c r="K65" s="34"/>
      <c r="L65" s="28"/>
      <c r="M65" s="80"/>
      <c r="N65" s="80"/>
      <c r="O65" s="95"/>
      <c r="P65" s="45"/>
      <c r="Q65" s="96"/>
      <c r="R65" s="28"/>
      <c r="S65" s="97"/>
      <c r="T65" s="34"/>
      <c r="U65" s="96"/>
      <c r="V65" s="98"/>
      <c r="W65" s="1"/>
      <c r="X65" s="1"/>
      <c r="Y65" s="1"/>
    </row>
    <row r="66" ht="15.75" customHeight="1">
      <c r="A66" s="28"/>
      <c r="B66" s="28"/>
      <c r="C66" s="28"/>
      <c r="D66" s="28"/>
      <c r="E66" s="28"/>
      <c r="F66" s="45"/>
      <c r="G66" s="50"/>
      <c r="H66" s="28"/>
      <c r="I66" s="45"/>
      <c r="J66" s="34"/>
      <c r="K66" s="34"/>
      <c r="L66" s="28"/>
      <c r="M66" s="80"/>
      <c r="N66" s="80"/>
      <c r="O66" s="95"/>
      <c r="P66" s="45"/>
      <c r="Q66" s="96"/>
      <c r="R66" s="28"/>
      <c r="S66" s="97"/>
      <c r="T66" s="34"/>
      <c r="U66" s="96"/>
      <c r="V66" s="98"/>
      <c r="W66" s="1"/>
      <c r="X66" s="1"/>
      <c r="Y66" s="1"/>
    </row>
    <row r="67" ht="15.75" customHeight="1">
      <c r="A67" s="28"/>
      <c r="B67" s="28"/>
      <c r="C67" s="28"/>
      <c r="D67" s="28"/>
      <c r="E67" s="28"/>
      <c r="F67" s="45"/>
      <c r="G67" s="50"/>
      <c r="H67" s="28"/>
      <c r="I67" s="45"/>
      <c r="J67" s="34"/>
      <c r="K67" s="34"/>
      <c r="L67" s="28"/>
      <c r="M67" s="80"/>
      <c r="N67" s="80"/>
      <c r="O67" s="95"/>
      <c r="P67" s="45"/>
      <c r="Q67" s="96"/>
      <c r="R67" s="28"/>
      <c r="S67" s="97"/>
      <c r="T67" s="34"/>
      <c r="U67" s="96"/>
      <c r="V67" s="98"/>
      <c r="W67" s="1"/>
      <c r="X67" s="1"/>
      <c r="Y67" s="1"/>
    </row>
    <row r="68" ht="15.75" customHeight="1">
      <c r="A68" s="28"/>
      <c r="B68" s="28"/>
      <c r="C68" s="28"/>
      <c r="D68" s="28"/>
      <c r="E68" s="28"/>
      <c r="F68" s="45"/>
      <c r="G68" s="50"/>
      <c r="H68" s="28"/>
      <c r="I68" s="45"/>
      <c r="J68" s="34"/>
      <c r="K68" s="34"/>
      <c r="L68" s="28"/>
      <c r="M68" s="80"/>
      <c r="N68" s="80"/>
      <c r="O68" s="95"/>
      <c r="P68" s="45"/>
      <c r="Q68" s="96"/>
      <c r="R68" s="28"/>
      <c r="S68" s="97"/>
      <c r="T68" s="34"/>
      <c r="U68" s="96"/>
      <c r="V68" s="98"/>
      <c r="W68" s="1"/>
      <c r="X68" s="1"/>
      <c r="Y68" s="1"/>
    </row>
    <row r="69" ht="15.75" customHeight="1">
      <c r="A69" s="28"/>
      <c r="B69" s="28"/>
      <c r="C69" s="28"/>
      <c r="D69" s="28"/>
      <c r="E69" s="28"/>
      <c r="F69" s="45"/>
      <c r="G69" s="50"/>
      <c r="H69" s="28"/>
      <c r="I69" s="45"/>
      <c r="J69" s="34"/>
      <c r="K69" s="34"/>
      <c r="L69" s="28"/>
      <c r="M69" s="80"/>
      <c r="N69" s="80"/>
      <c r="O69" s="95"/>
      <c r="P69" s="45"/>
      <c r="Q69" s="96"/>
      <c r="R69" s="28"/>
      <c r="S69" s="97"/>
      <c r="T69" s="34"/>
      <c r="U69" s="96"/>
      <c r="V69" s="98"/>
      <c r="W69" s="1"/>
      <c r="X69" s="1"/>
      <c r="Y69" s="1"/>
    </row>
    <row r="70" ht="15.75" customHeight="1">
      <c r="A70" s="28"/>
      <c r="B70" s="28"/>
      <c r="C70" s="28"/>
      <c r="D70" s="28"/>
      <c r="E70" s="28"/>
      <c r="F70" s="45"/>
      <c r="G70" s="50"/>
      <c r="H70" s="28"/>
      <c r="I70" s="45"/>
      <c r="J70" s="34"/>
      <c r="K70" s="34"/>
      <c r="L70" s="28"/>
      <c r="M70" s="80"/>
      <c r="N70" s="80"/>
      <c r="O70" s="95"/>
      <c r="P70" s="45"/>
      <c r="Q70" s="96"/>
      <c r="R70" s="28"/>
      <c r="S70" s="97"/>
      <c r="T70" s="34"/>
      <c r="U70" s="96"/>
      <c r="V70" s="98"/>
      <c r="W70" s="1"/>
      <c r="X70" s="1"/>
      <c r="Y70" s="1"/>
    </row>
    <row r="71" ht="15.75" customHeight="1">
      <c r="A71" s="28"/>
      <c r="B71" s="28"/>
      <c r="C71" s="28"/>
      <c r="D71" s="28"/>
      <c r="E71" s="28"/>
      <c r="F71" s="45"/>
      <c r="G71" s="50"/>
      <c r="H71" s="28"/>
      <c r="I71" s="45"/>
      <c r="J71" s="34"/>
      <c r="K71" s="34"/>
      <c r="L71" s="28"/>
      <c r="M71" s="80"/>
      <c r="N71" s="80"/>
      <c r="O71" s="95"/>
      <c r="P71" s="45"/>
      <c r="Q71" s="96"/>
      <c r="R71" s="28"/>
      <c r="S71" s="97"/>
      <c r="T71" s="34"/>
      <c r="U71" s="96"/>
      <c r="V71" s="98"/>
      <c r="W71" s="1"/>
      <c r="X71" s="1"/>
      <c r="Y71" s="1"/>
    </row>
    <row r="72" ht="15.75" customHeight="1">
      <c r="A72" s="28"/>
      <c r="B72" s="28"/>
      <c r="C72" s="28"/>
      <c r="D72" s="28"/>
      <c r="E72" s="28"/>
      <c r="F72" s="45"/>
      <c r="G72" s="50"/>
      <c r="H72" s="28"/>
      <c r="I72" s="45"/>
      <c r="J72" s="34"/>
      <c r="K72" s="34"/>
      <c r="L72" s="28"/>
      <c r="M72" s="80"/>
      <c r="N72" s="80"/>
      <c r="O72" s="95"/>
      <c r="P72" s="45"/>
      <c r="Q72" s="96"/>
      <c r="R72" s="28"/>
      <c r="S72" s="97"/>
      <c r="T72" s="34"/>
      <c r="U72" s="96"/>
      <c r="V72" s="98"/>
      <c r="W72" s="1"/>
      <c r="X72" s="1"/>
      <c r="Y72" s="1"/>
    </row>
    <row r="73" ht="15.75" customHeight="1">
      <c r="A73" s="28"/>
      <c r="B73" s="28"/>
      <c r="C73" s="28"/>
      <c r="D73" s="28"/>
      <c r="E73" s="28"/>
      <c r="F73" s="45"/>
      <c r="G73" s="50"/>
      <c r="H73" s="28"/>
      <c r="I73" s="45"/>
      <c r="J73" s="34"/>
      <c r="K73" s="34"/>
      <c r="L73" s="28"/>
      <c r="M73" s="80"/>
      <c r="N73" s="80"/>
      <c r="O73" s="95"/>
      <c r="P73" s="45"/>
      <c r="Q73" s="96"/>
      <c r="R73" s="28"/>
      <c r="S73" s="97"/>
      <c r="T73" s="34"/>
      <c r="U73" s="96"/>
      <c r="V73" s="98"/>
      <c r="W73" s="1"/>
      <c r="X73" s="1"/>
      <c r="Y73" s="1"/>
    </row>
    <row r="74" ht="15.75" customHeight="1">
      <c r="A74" s="28"/>
      <c r="B74" s="28"/>
      <c r="C74" s="28"/>
      <c r="D74" s="28"/>
      <c r="E74" s="28"/>
      <c r="F74" s="45"/>
      <c r="G74" s="50"/>
      <c r="H74" s="28"/>
      <c r="I74" s="45"/>
      <c r="J74" s="34"/>
      <c r="K74" s="34"/>
      <c r="L74" s="28"/>
      <c r="M74" s="80"/>
      <c r="N74" s="80"/>
      <c r="O74" s="95"/>
      <c r="P74" s="45"/>
      <c r="Q74" s="96"/>
      <c r="R74" s="28"/>
      <c r="S74" s="97"/>
      <c r="T74" s="34"/>
      <c r="U74" s="96"/>
      <c r="V74" s="98"/>
      <c r="W74" s="1"/>
      <c r="X74" s="1"/>
      <c r="Y74" s="1"/>
    </row>
    <row r="75" ht="15.75" customHeight="1">
      <c r="A75" s="28"/>
      <c r="B75" s="28"/>
      <c r="C75" s="28"/>
      <c r="D75" s="28"/>
      <c r="E75" s="28"/>
      <c r="F75" s="45"/>
      <c r="G75" s="50"/>
      <c r="H75" s="28"/>
      <c r="I75" s="45"/>
      <c r="J75" s="34"/>
      <c r="K75" s="34"/>
      <c r="L75" s="28"/>
      <c r="M75" s="80"/>
      <c r="N75" s="80"/>
      <c r="O75" s="95"/>
      <c r="P75" s="45"/>
      <c r="Q75" s="96"/>
      <c r="R75" s="28"/>
      <c r="S75" s="97"/>
      <c r="T75" s="34"/>
      <c r="U75" s="96"/>
      <c r="V75" s="98"/>
      <c r="W75" s="1"/>
      <c r="X75" s="1"/>
      <c r="Y75" s="1"/>
    </row>
    <row r="76" ht="15.75" customHeight="1">
      <c r="A76" s="28"/>
      <c r="B76" s="28"/>
      <c r="C76" s="28"/>
      <c r="D76" s="28"/>
      <c r="E76" s="28"/>
      <c r="F76" s="45"/>
      <c r="G76" s="50"/>
      <c r="H76" s="28"/>
      <c r="I76" s="45"/>
      <c r="J76" s="34"/>
      <c r="K76" s="34"/>
      <c r="L76" s="28"/>
      <c r="M76" s="80"/>
      <c r="N76" s="80"/>
      <c r="O76" s="95"/>
      <c r="P76" s="45"/>
      <c r="Q76" s="96"/>
      <c r="R76" s="28"/>
      <c r="S76" s="97"/>
      <c r="T76" s="34"/>
      <c r="U76" s="96"/>
      <c r="V76" s="98"/>
      <c r="W76" s="1"/>
      <c r="X76" s="1"/>
      <c r="Y76" s="1"/>
    </row>
    <row r="77" ht="15.75" customHeight="1">
      <c r="A77" s="28"/>
      <c r="B77" s="28"/>
      <c r="C77" s="28"/>
      <c r="D77" s="28"/>
      <c r="E77" s="28"/>
      <c r="F77" s="45"/>
      <c r="G77" s="50"/>
      <c r="H77" s="28"/>
      <c r="I77" s="45"/>
      <c r="J77" s="34"/>
      <c r="K77" s="34"/>
      <c r="L77" s="28"/>
      <c r="M77" s="80"/>
      <c r="N77" s="80"/>
      <c r="O77" s="95"/>
      <c r="P77" s="45"/>
      <c r="Q77" s="96"/>
      <c r="R77" s="28"/>
      <c r="S77" s="97"/>
      <c r="T77" s="34"/>
      <c r="U77" s="96"/>
      <c r="V77" s="98"/>
      <c r="W77" s="1"/>
      <c r="X77" s="1"/>
      <c r="Y77" s="1"/>
    </row>
    <row r="78" ht="15.75" customHeight="1">
      <c r="A78" s="28"/>
      <c r="B78" s="28"/>
      <c r="C78" s="28"/>
      <c r="D78" s="28"/>
      <c r="E78" s="28"/>
      <c r="F78" s="45"/>
      <c r="G78" s="50"/>
      <c r="H78" s="28"/>
      <c r="I78" s="45"/>
      <c r="J78" s="34"/>
      <c r="K78" s="34"/>
      <c r="L78" s="28"/>
      <c r="M78" s="80"/>
      <c r="N78" s="80"/>
      <c r="O78" s="95"/>
      <c r="P78" s="45"/>
      <c r="Q78" s="96"/>
      <c r="R78" s="28"/>
      <c r="S78" s="97"/>
      <c r="T78" s="34"/>
      <c r="U78" s="96"/>
      <c r="V78" s="98"/>
      <c r="W78" s="1"/>
      <c r="X78" s="1"/>
      <c r="Y78" s="1"/>
    </row>
    <row r="79" ht="15.75" customHeight="1">
      <c r="A79" s="28"/>
      <c r="B79" s="28"/>
      <c r="C79" s="28"/>
      <c r="D79" s="28"/>
      <c r="E79" s="28"/>
      <c r="F79" s="45"/>
      <c r="G79" s="50"/>
      <c r="H79" s="28"/>
      <c r="I79" s="45"/>
      <c r="J79" s="34"/>
      <c r="K79" s="34"/>
      <c r="L79" s="28"/>
      <c r="M79" s="80"/>
      <c r="N79" s="80"/>
      <c r="O79" s="95"/>
      <c r="P79" s="45"/>
      <c r="Q79" s="96"/>
      <c r="R79" s="28"/>
      <c r="S79" s="97"/>
      <c r="T79" s="34"/>
      <c r="U79" s="96"/>
      <c r="V79" s="98"/>
      <c r="W79" s="1"/>
      <c r="X79" s="1"/>
      <c r="Y79" s="1"/>
    </row>
    <row r="80" ht="15.75" customHeight="1">
      <c r="A80" s="28"/>
      <c r="B80" s="28"/>
      <c r="C80" s="28"/>
      <c r="D80" s="28"/>
      <c r="E80" s="28"/>
      <c r="F80" s="45"/>
      <c r="G80" s="50"/>
      <c r="H80" s="28"/>
      <c r="I80" s="45"/>
      <c r="J80" s="34"/>
      <c r="K80" s="34"/>
      <c r="L80" s="28"/>
      <c r="M80" s="80"/>
      <c r="N80" s="80"/>
      <c r="O80" s="95"/>
      <c r="P80" s="45"/>
      <c r="Q80" s="96"/>
      <c r="R80" s="28"/>
      <c r="S80" s="97"/>
      <c r="T80" s="34"/>
      <c r="U80" s="96"/>
      <c r="V80" s="98"/>
      <c r="W80" s="1"/>
      <c r="X80" s="1"/>
      <c r="Y80" s="1"/>
    </row>
    <row r="81" ht="15.75" customHeight="1">
      <c r="A81" s="28"/>
      <c r="B81" s="28"/>
      <c r="C81" s="28"/>
      <c r="D81" s="28"/>
      <c r="E81" s="28"/>
      <c r="F81" s="45"/>
      <c r="G81" s="50"/>
      <c r="H81" s="28"/>
      <c r="I81" s="45"/>
      <c r="J81" s="34"/>
      <c r="K81" s="34"/>
      <c r="L81" s="28"/>
      <c r="M81" s="80"/>
      <c r="N81" s="80"/>
      <c r="O81" s="95"/>
      <c r="P81" s="45"/>
      <c r="Q81" s="96"/>
      <c r="R81" s="28"/>
      <c r="S81" s="97"/>
      <c r="T81" s="34"/>
      <c r="U81" s="96"/>
      <c r="V81" s="98"/>
      <c r="W81" s="1"/>
      <c r="X81" s="1"/>
      <c r="Y81" s="1"/>
    </row>
    <row r="82" ht="15.75" customHeight="1">
      <c r="A82" s="28"/>
      <c r="B82" s="28"/>
      <c r="C82" s="28"/>
      <c r="D82" s="28"/>
      <c r="E82" s="28"/>
      <c r="F82" s="45"/>
      <c r="G82" s="50"/>
      <c r="H82" s="28"/>
      <c r="I82" s="45"/>
      <c r="J82" s="34"/>
      <c r="K82" s="34"/>
      <c r="L82" s="28"/>
      <c r="M82" s="80"/>
      <c r="N82" s="80"/>
      <c r="O82" s="95"/>
      <c r="P82" s="45"/>
      <c r="Q82" s="96"/>
      <c r="R82" s="28"/>
      <c r="S82" s="97"/>
      <c r="T82" s="34"/>
      <c r="U82" s="96"/>
      <c r="V82" s="98"/>
      <c r="W82" s="1"/>
      <c r="X82" s="1"/>
      <c r="Y82" s="1"/>
    </row>
    <row r="83" ht="15.75" customHeight="1">
      <c r="A83" s="28"/>
      <c r="B83" s="28"/>
      <c r="C83" s="28"/>
      <c r="D83" s="28"/>
      <c r="E83" s="28"/>
      <c r="F83" s="45"/>
      <c r="G83" s="50"/>
      <c r="H83" s="28"/>
      <c r="I83" s="45"/>
      <c r="J83" s="34"/>
      <c r="K83" s="34"/>
      <c r="L83" s="28"/>
      <c r="M83" s="80"/>
      <c r="N83" s="80"/>
      <c r="O83" s="95"/>
      <c r="P83" s="45"/>
      <c r="Q83" s="96"/>
      <c r="R83" s="28"/>
      <c r="S83" s="97"/>
      <c r="T83" s="34"/>
      <c r="U83" s="96"/>
      <c r="V83" s="98"/>
      <c r="W83" s="1"/>
      <c r="X83" s="1"/>
      <c r="Y83" s="1"/>
    </row>
    <row r="84" ht="15.75" customHeight="1">
      <c r="A84" s="28"/>
      <c r="B84" s="28"/>
      <c r="C84" s="28"/>
      <c r="D84" s="28"/>
      <c r="E84" s="28"/>
      <c r="F84" s="45"/>
      <c r="G84" s="50"/>
      <c r="H84" s="28"/>
      <c r="I84" s="45"/>
      <c r="J84" s="34"/>
      <c r="K84" s="34"/>
      <c r="L84" s="28"/>
      <c r="M84" s="80"/>
      <c r="N84" s="80"/>
      <c r="O84" s="95"/>
      <c r="P84" s="45"/>
      <c r="Q84" s="96"/>
      <c r="R84" s="28"/>
      <c r="S84" s="97"/>
      <c r="T84" s="34"/>
      <c r="U84" s="96"/>
      <c r="V84" s="98"/>
      <c r="W84" s="1"/>
      <c r="X84" s="1"/>
      <c r="Y84" s="1"/>
    </row>
    <row r="85" ht="15.75" customHeight="1">
      <c r="A85" s="28"/>
      <c r="B85" s="28"/>
      <c r="C85" s="28"/>
      <c r="D85" s="28"/>
      <c r="E85" s="28"/>
      <c r="F85" s="45"/>
      <c r="G85" s="50"/>
      <c r="H85" s="28"/>
      <c r="I85" s="45"/>
      <c r="J85" s="34"/>
      <c r="K85" s="34"/>
      <c r="L85" s="28"/>
      <c r="M85" s="80"/>
      <c r="N85" s="80"/>
      <c r="O85" s="95"/>
      <c r="P85" s="45"/>
      <c r="Q85" s="96"/>
      <c r="R85" s="28"/>
      <c r="S85" s="97"/>
      <c r="T85" s="34"/>
      <c r="U85" s="96"/>
      <c r="V85" s="98"/>
      <c r="W85" s="1"/>
      <c r="X85" s="1"/>
      <c r="Y85" s="1"/>
    </row>
    <row r="86" ht="15.75" customHeight="1">
      <c r="A86" s="28"/>
      <c r="B86" s="28"/>
      <c r="C86" s="28"/>
      <c r="D86" s="28"/>
      <c r="E86" s="28"/>
      <c r="F86" s="45"/>
      <c r="G86" s="50"/>
      <c r="H86" s="28"/>
      <c r="I86" s="45"/>
      <c r="J86" s="34"/>
      <c r="K86" s="34"/>
      <c r="L86" s="28"/>
      <c r="M86" s="80"/>
      <c r="N86" s="80"/>
      <c r="O86" s="95"/>
      <c r="P86" s="45"/>
      <c r="Q86" s="96"/>
      <c r="R86" s="28"/>
      <c r="S86" s="97"/>
      <c r="T86" s="34"/>
      <c r="U86" s="96"/>
      <c r="V86" s="98"/>
      <c r="W86" s="1"/>
      <c r="X86" s="1"/>
      <c r="Y86" s="1"/>
    </row>
    <row r="87" ht="15.75" customHeight="1">
      <c r="A87" s="28"/>
      <c r="B87" s="28"/>
      <c r="C87" s="28"/>
      <c r="D87" s="28"/>
      <c r="E87" s="28"/>
      <c r="F87" s="45"/>
      <c r="G87" s="50"/>
      <c r="H87" s="28"/>
      <c r="I87" s="45"/>
      <c r="J87" s="34"/>
      <c r="K87" s="34"/>
      <c r="L87" s="28"/>
      <c r="M87" s="80"/>
      <c r="N87" s="80"/>
      <c r="O87" s="95"/>
      <c r="P87" s="45"/>
      <c r="Q87" s="96"/>
      <c r="R87" s="28"/>
      <c r="S87" s="97"/>
      <c r="T87" s="34"/>
      <c r="U87" s="96"/>
      <c r="V87" s="98"/>
      <c r="W87" s="1"/>
      <c r="X87" s="1"/>
      <c r="Y87" s="1"/>
    </row>
    <row r="88" ht="15.75" customHeight="1">
      <c r="A88" s="28"/>
      <c r="B88" s="28"/>
      <c r="C88" s="28"/>
      <c r="D88" s="28"/>
      <c r="E88" s="28"/>
      <c r="F88" s="45"/>
      <c r="G88" s="50"/>
      <c r="H88" s="28"/>
      <c r="I88" s="45"/>
      <c r="J88" s="34"/>
      <c r="K88" s="34"/>
      <c r="L88" s="28"/>
      <c r="M88" s="80"/>
      <c r="N88" s="80"/>
      <c r="O88" s="95"/>
      <c r="P88" s="45"/>
      <c r="Q88" s="96"/>
      <c r="R88" s="28"/>
      <c r="S88" s="97"/>
      <c r="T88" s="34"/>
      <c r="U88" s="96"/>
      <c r="V88" s="98"/>
      <c r="W88" s="1"/>
      <c r="X88" s="1"/>
      <c r="Y88" s="1"/>
    </row>
    <row r="89" ht="15.75" customHeight="1">
      <c r="A89" s="28"/>
      <c r="B89" s="28"/>
      <c r="C89" s="28"/>
      <c r="D89" s="28"/>
      <c r="E89" s="28"/>
      <c r="F89" s="45"/>
      <c r="G89" s="50"/>
      <c r="H89" s="28"/>
      <c r="I89" s="45"/>
      <c r="J89" s="34"/>
      <c r="K89" s="34"/>
      <c r="L89" s="28"/>
      <c r="M89" s="80"/>
      <c r="N89" s="80"/>
      <c r="O89" s="95"/>
      <c r="P89" s="45"/>
      <c r="Q89" s="96"/>
      <c r="R89" s="28"/>
      <c r="S89" s="97"/>
      <c r="T89" s="34"/>
      <c r="U89" s="96"/>
      <c r="V89" s="98"/>
      <c r="W89" s="1"/>
      <c r="X89" s="1"/>
      <c r="Y89" s="1"/>
    </row>
    <row r="90" ht="15.75" customHeight="1">
      <c r="A90" s="28"/>
      <c r="B90" s="28"/>
      <c r="C90" s="28"/>
      <c r="D90" s="28"/>
      <c r="E90" s="28"/>
      <c r="F90" s="45"/>
      <c r="G90" s="50"/>
      <c r="H90" s="28"/>
      <c r="I90" s="45"/>
      <c r="J90" s="34"/>
      <c r="K90" s="34"/>
      <c r="L90" s="28"/>
      <c r="M90" s="80"/>
      <c r="N90" s="80"/>
      <c r="O90" s="95"/>
      <c r="P90" s="45"/>
      <c r="Q90" s="96"/>
      <c r="R90" s="28"/>
      <c r="S90" s="97"/>
      <c r="T90" s="34"/>
      <c r="U90" s="96"/>
      <c r="V90" s="98"/>
      <c r="W90" s="1"/>
      <c r="X90" s="1"/>
      <c r="Y90" s="1"/>
    </row>
    <row r="91" ht="15.75" customHeight="1">
      <c r="A91" s="28"/>
      <c r="B91" s="28"/>
      <c r="C91" s="28"/>
      <c r="D91" s="28"/>
      <c r="E91" s="28"/>
      <c r="F91" s="45"/>
      <c r="G91" s="50"/>
      <c r="H91" s="28"/>
      <c r="I91" s="45"/>
      <c r="J91" s="34"/>
      <c r="K91" s="34"/>
      <c r="L91" s="28"/>
      <c r="M91" s="80"/>
      <c r="N91" s="80"/>
      <c r="O91" s="95"/>
      <c r="P91" s="45"/>
      <c r="Q91" s="96"/>
      <c r="R91" s="28"/>
      <c r="S91" s="97"/>
      <c r="T91" s="34"/>
      <c r="U91" s="96"/>
      <c r="V91" s="98"/>
      <c r="W91" s="1"/>
      <c r="X91" s="1"/>
      <c r="Y91" s="1"/>
    </row>
    <row r="92" ht="15.75" customHeight="1">
      <c r="A92" s="28"/>
      <c r="B92" s="28"/>
      <c r="C92" s="28"/>
      <c r="D92" s="28"/>
      <c r="E92" s="28"/>
      <c r="F92" s="45"/>
      <c r="G92" s="50"/>
      <c r="H92" s="28"/>
      <c r="I92" s="45"/>
      <c r="J92" s="34"/>
      <c r="K92" s="34"/>
      <c r="L92" s="28"/>
      <c r="M92" s="80"/>
      <c r="N92" s="80"/>
      <c r="O92" s="95"/>
      <c r="P92" s="45"/>
      <c r="Q92" s="96"/>
      <c r="R92" s="28"/>
      <c r="S92" s="97"/>
      <c r="T92" s="34"/>
      <c r="U92" s="96"/>
      <c r="V92" s="98"/>
      <c r="W92" s="1"/>
      <c r="X92" s="1"/>
      <c r="Y92" s="1"/>
    </row>
    <row r="93" ht="15.75" customHeight="1">
      <c r="A93" s="28"/>
      <c r="B93" s="28"/>
      <c r="C93" s="28"/>
      <c r="D93" s="28"/>
      <c r="E93" s="28"/>
      <c r="F93" s="45"/>
      <c r="G93" s="50"/>
      <c r="H93" s="28"/>
      <c r="I93" s="45"/>
      <c r="J93" s="34"/>
      <c r="K93" s="34"/>
      <c r="L93" s="28"/>
      <c r="M93" s="80"/>
      <c r="N93" s="80"/>
      <c r="O93" s="95"/>
      <c r="P93" s="45"/>
      <c r="Q93" s="96"/>
      <c r="R93" s="28"/>
      <c r="S93" s="97"/>
      <c r="T93" s="34"/>
      <c r="U93" s="96"/>
      <c r="V93" s="98"/>
      <c r="W93" s="1"/>
      <c r="X93" s="1"/>
      <c r="Y93" s="1"/>
    </row>
    <row r="94" ht="15.75" customHeight="1">
      <c r="A94" s="28"/>
      <c r="B94" s="28"/>
      <c r="C94" s="28"/>
      <c r="D94" s="28"/>
      <c r="E94" s="28"/>
      <c r="F94" s="45"/>
      <c r="G94" s="50"/>
      <c r="H94" s="28"/>
      <c r="I94" s="45"/>
      <c r="J94" s="34"/>
      <c r="K94" s="34"/>
      <c r="L94" s="28"/>
      <c r="M94" s="80"/>
      <c r="N94" s="80"/>
      <c r="O94" s="95"/>
      <c r="P94" s="45"/>
      <c r="Q94" s="96"/>
      <c r="R94" s="28"/>
      <c r="S94" s="97"/>
      <c r="T94" s="34"/>
      <c r="U94" s="96"/>
      <c r="V94" s="98"/>
      <c r="W94" s="1"/>
      <c r="X94" s="1"/>
      <c r="Y94" s="1"/>
    </row>
    <row r="95" ht="15.75" customHeight="1">
      <c r="A95" s="28"/>
      <c r="B95" s="28"/>
      <c r="C95" s="28"/>
      <c r="D95" s="28"/>
      <c r="E95" s="28"/>
      <c r="F95" s="45"/>
      <c r="G95" s="50"/>
      <c r="H95" s="28"/>
      <c r="I95" s="45"/>
      <c r="J95" s="34"/>
      <c r="K95" s="34"/>
      <c r="L95" s="28"/>
      <c r="M95" s="80"/>
      <c r="N95" s="80"/>
      <c r="O95" s="95"/>
      <c r="P95" s="45"/>
      <c r="Q95" s="96"/>
      <c r="R95" s="28"/>
      <c r="S95" s="97"/>
      <c r="T95" s="34"/>
      <c r="U95" s="96"/>
      <c r="V95" s="98"/>
      <c r="W95" s="1"/>
      <c r="X95" s="1"/>
      <c r="Y95" s="1"/>
    </row>
    <row r="96" ht="15.75" customHeight="1">
      <c r="A96" s="28"/>
      <c r="B96" s="28"/>
      <c r="C96" s="28"/>
      <c r="D96" s="28"/>
      <c r="E96" s="28"/>
      <c r="F96" s="45"/>
      <c r="G96" s="50"/>
      <c r="H96" s="28"/>
      <c r="I96" s="45"/>
      <c r="J96" s="34"/>
      <c r="K96" s="34"/>
      <c r="L96" s="28"/>
      <c r="M96" s="80"/>
      <c r="N96" s="80"/>
      <c r="O96" s="95"/>
      <c r="P96" s="45"/>
      <c r="Q96" s="96"/>
      <c r="R96" s="28"/>
      <c r="S96" s="97"/>
      <c r="T96" s="34"/>
      <c r="U96" s="96"/>
      <c r="V96" s="98"/>
      <c r="W96" s="1"/>
      <c r="X96" s="1"/>
      <c r="Y96" s="1"/>
    </row>
    <row r="97" ht="15.75" customHeight="1">
      <c r="A97" s="28"/>
      <c r="B97" s="28"/>
      <c r="C97" s="28"/>
      <c r="D97" s="28"/>
      <c r="E97" s="28"/>
      <c r="F97" s="45"/>
      <c r="G97" s="50"/>
      <c r="H97" s="28"/>
      <c r="I97" s="45"/>
      <c r="J97" s="34"/>
      <c r="K97" s="34"/>
      <c r="L97" s="28"/>
      <c r="M97" s="80"/>
      <c r="N97" s="80"/>
      <c r="O97" s="95"/>
      <c r="P97" s="45"/>
      <c r="Q97" s="96"/>
      <c r="R97" s="28"/>
      <c r="S97" s="97"/>
      <c r="T97" s="34"/>
      <c r="U97" s="96"/>
      <c r="V97" s="98"/>
      <c r="W97" s="1"/>
      <c r="X97" s="1"/>
      <c r="Y97" s="1"/>
    </row>
    <row r="98" ht="15.75" customHeight="1">
      <c r="A98" s="28"/>
      <c r="B98" s="28"/>
      <c r="C98" s="28"/>
      <c r="D98" s="28"/>
      <c r="E98" s="28"/>
      <c r="F98" s="45"/>
      <c r="G98" s="50"/>
      <c r="H98" s="28"/>
      <c r="I98" s="45"/>
      <c r="J98" s="34"/>
      <c r="K98" s="34"/>
      <c r="L98" s="28"/>
      <c r="M98" s="80"/>
      <c r="N98" s="80"/>
      <c r="O98" s="95"/>
      <c r="P98" s="45"/>
      <c r="Q98" s="96"/>
      <c r="R98" s="28"/>
      <c r="S98" s="97"/>
      <c r="T98" s="34"/>
      <c r="U98" s="96"/>
      <c r="V98" s="98"/>
      <c r="W98" s="1"/>
      <c r="X98" s="1"/>
      <c r="Y98" s="1"/>
    </row>
    <row r="99" ht="15.75" customHeight="1">
      <c r="A99" s="28"/>
      <c r="B99" s="28"/>
      <c r="C99" s="28"/>
      <c r="D99" s="28"/>
      <c r="E99" s="28"/>
      <c r="F99" s="45"/>
      <c r="G99" s="50"/>
      <c r="H99" s="28"/>
      <c r="I99" s="45"/>
      <c r="J99" s="34"/>
      <c r="K99" s="34"/>
      <c r="L99" s="28"/>
      <c r="M99" s="80"/>
      <c r="N99" s="80"/>
      <c r="O99" s="95"/>
      <c r="P99" s="45"/>
      <c r="Q99" s="96"/>
      <c r="R99" s="28"/>
      <c r="S99" s="97"/>
      <c r="T99" s="34"/>
      <c r="U99" s="96"/>
      <c r="V99" s="98"/>
      <c r="W99" s="1"/>
      <c r="X99" s="1"/>
      <c r="Y99" s="1"/>
    </row>
    <row r="100" ht="15.75" customHeight="1">
      <c r="A100" s="28"/>
      <c r="B100" s="28"/>
      <c r="C100" s="28"/>
      <c r="D100" s="28"/>
      <c r="E100" s="28"/>
      <c r="F100" s="45"/>
      <c r="G100" s="50"/>
      <c r="H100" s="28"/>
      <c r="I100" s="45"/>
      <c r="J100" s="34"/>
      <c r="K100" s="34"/>
      <c r="L100" s="28"/>
      <c r="M100" s="80"/>
      <c r="N100" s="80"/>
      <c r="O100" s="95"/>
      <c r="P100" s="45"/>
      <c r="Q100" s="96"/>
      <c r="R100" s="28"/>
      <c r="S100" s="97"/>
      <c r="T100" s="34"/>
      <c r="U100" s="96"/>
      <c r="V100" s="98"/>
      <c r="W100" s="1"/>
      <c r="X100" s="1"/>
      <c r="Y100" s="1"/>
    </row>
    <row r="101" ht="15.75" customHeight="1">
      <c r="A101" s="28"/>
      <c r="B101" s="28"/>
      <c r="C101" s="28"/>
      <c r="D101" s="28"/>
      <c r="E101" s="28"/>
      <c r="F101" s="45"/>
      <c r="G101" s="50"/>
      <c r="H101" s="28"/>
      <c r="I101" s="45"/>
      <c r="J101" s="34"/>
      <c r="K101" s="34"/>
      <c r="L101" s="28"/>
      <c r="M101" s="80"/>
      <c r="N101" s="80"/>
      <c r="O101" s="95"/>
      <c r="P101" s="45"/>
      <c r="Q101" s="96"/>
      <c r="R101" s="28"/>
      <c r="S101" s="97"/>
      <c r="T101" s="34"/>
      <c r="U101" s="96"/>
      <c r="V101" s="98"/>
      <c r="W101" s="1"/>
      <c r="X101" s="1"/>
      <c r="Y101" s="1"/>
    </row>
    <row r="102" ht="15.75" customHeight="1">
      <c r="A102" s="28"/>
      <c r="B102" s="28"/>
      <c r="C102" s="28"/>
      <c r="D102" s="28"/>
      <c r="E102" s="28"/>
      <c r="F102" s="45"/>
      <c r="G102" s="50"/>
      <c r="H102" s="28"/>
      <c r="I102" s="45"/>
      <c r="J102" s="34"/>
      <c r="K102" s="34"/>
      <c r="L102" s="28"/>
      <c r="M102" s="80"/>
      <c r="N102" s="80"/>
      <c r="O102" s="95"/>
      <c r="P102" s="45"/>
      <c r="Q102" s="96"/>
      <c r="R102" s="28"/>
      <c r="S102" s="97"/>
      <c r="T102" s="34"/>
      <c r="U102" s="96"/>
      <c r="V102" s="98"/>
      <c r="W102" s="1"/>
      <c r="X102" s="1"/>
      <c r="Y102" s="1"/>
    </row>
    <row r="103" ht="15.75" customHeight="1">
      <c r="A103" s="28"/>
      <c r="B103" s="28"/>
      <c r="C103" s="28"/>
      <c r="D103" s="28"/>
      <c r="E103" s="28"/>
      <c r="F103" s="45"/>
      <c r="G103" s="50"/>
      <c r="H103" s="28"/>
      <c r="I103" s="45"/>
      <c r="J103" s="34"/>
      <c r="K103" s="34"/>
      <c r="L103" s="28"/>
      <c r="M103" s="80"/>
      <c r="N103" s="80"/>
      <c r="O103" s="95"/>
      <c r="P103" s="45"/>
      <c r="Q103" s="96"/>
      <c r="R103" s="28"/>
      <c r="S103" s="97"/>
      <c r="T103" s="34"/>
      <c r="U103" s="96"/>
      <c r="V103" s="98"/>
      <c r="W103" s="1"/>
      <c r="X103" s="1"/>
      <c r="Y103" s="1"/>
    </row>
    <row r="104" ht="15.75" customHeight="1">
      <c r="A104" s="28"/>
      <c r="B104" s="28"/>
      <c r="C104" s="28"/>
      <c r="D104" s="28"/>
      <c r="E104" s="28"/>
      <c r="F104" s="45"/>
      <c r="G104" s="50"/>
      <c r="H104" s="28"/>
      <c r="I104" s="45"/>
      <c r="J104" s="34"/>
      <c r="K104" s="34"/>
      <c r="L104" s="28"/>
      <c r="M104" s="80"/>
      <c r="N104" s="80"/>
      <c r="O104" s="95"/>
      <c r="P104" s="45"/>
      <c r="Q104" s="96"/>
      <c r="R104" s="28"/>
      <c r="S104" s="97"/>
      <c r="T104" s="34"/>
      <c r="U104" s="96"/>
      <c r="V104" s="98"/>
      <c r="W104" s="1"/>
      <c r="X104" s="1"/>
      <c r="Y104" s="1"/>
    </row>
    <row r="105" ht="15.75" customHeight="1">
      <c r="A105" s="28"/>
      <c r="B105" s="28"/>
      <c r="C105" s="28"/>
      <c r="D105" s="28"/>
      <c r="E105" s="28"/>
      <c r="F105" s="45"/>
      <c r="G105" s="50"/>
      <c r="H105" s="28"/>
      <c r="I105" s="45"/>
      <c r="J105" s="34"/>
      <c r="K105" s="34"/>
      <c r="L105" s="28"/>
      <c r="M105" s="80"/>
      <c r="N105" s="80"/>
      <c r="O105" s="95"/>
      <c r="P105" s="45"/>
      <c r="Q105" s="96"/>
      <c r="R105" s="28"/>
      <c r="S105" s="97"/>
      <c r="T105" s="34"/>
      <c r="U105" s="96"/>
      <c r="V105" s="98"/>
      <c r="W105" s="1"/>
      <c r="X105" s="1"/>
      <c r="Y105" s="1"/>
    </row>
    <row r="106" ht="15.75" customHeight="1">
      <c r="A106" s="28"/>
      <c r="B106" s="28"/>
      <c r="C106" s="28"/>
      <c r="D106" s="28"/>
      <c r="E106" s="28"/>
      <c r="F106" s="45"/>
      <c r="G106" s="50"/>
      <c r="H106" s="28"/>
      <c r="I106" s="45"/>
      <c r="J106" s="34"/>
      <c r="K106" s="34"/>
      <c r="L106" s="28"/>
      <c r="M106" s="80"/>
      <c r="N106" s="80"/>
      <c r="O106" s="95"/>
      <c r="P106" s="45"/>
      <c r="Q106" s="96"/>
      <c r="R106" s="28"/>
      <c r="S106" s="97"/>
      <c r="T106" s="34"/>
      <c r="U106" s="96"/>
      <c r="V106" s="98"/>
      <c r="W106" s="1"/>
      <c r="X106" s="1"/>
      <c r="Y106" s="1"/>
    </row>
    <row r="107" ht="15.75" customHeight="1">
      <c r="A107" s="28"/>
      <c r="B107" s="28"/>
      <c r="C107" s="28"/>
      <c r="D107" s="28"/>
      <c r="E107" s="28"/>
      <c r="F107" s="45"/>
      <c r="G107" s="50"/>
      <c r="H107" s="28"/>
      <c r="I107" s="45"/>
      <c r="J107" s="34"/>
      <c r="K107" s="34"/>
      <c r="L107" s="28"/>
      <c r="M107" s="80"/>
      <c r="N107" s="80"/>
      <c r="O107" s="95"/>
      <c r="P107" s="45"/>
      <c r="Q107" s="96"/>
      <c r="R107" s="28"/>
      <c r="S107" s="97"/>
      <c r="T107" s="34"/>
      <c r="U107" s="96"/>
      <c r="V107" s="98"/>
      <c r="W107" s="1"/>
      <c r="X107" s="1"/>
      <c r="Y107" s="1"/>
    </row>
    <row r="108" ht="15.75" customHeight="1">
      <c r="A108" s="28"/>
      <c r="B108" s="28"/>
      <c r="C108" s="28"/>
      <c r="D108" s="28"/>
      <c r="E108" s="28"/>
      <c r="F108" s="45"/>
      <c r="G108" s="50"/>
      <c r="H108" s="28"/>
      <c r="I108" s="45"/>
      <c r="J108" s="34"/>
      <c r="K108" s="34"/>
      <c r="L108" s="28"/>
      <c r="M108" s="80"/>
      <c r="N108" s="80"/>
      <c r="O108" s="95"/>
      <c r="P108" s="45"/>
      <c r="Q108" s="96"/>
      <c r="R108" s="28"/>
      <c r="S108" s="97"/>
      <c r="T108" s="34"/>
      <c r="U108" s="96"/>
      <c r="V108" s="98"/>
      <c r="W108" s="1"/>
      <c r="X108" s="1"/>
      <c r="Y108" s="1"/>
    </row>
    <row r="109" ht="15.75" customHeight="1">
      <c r="A109" s="28"/>
      <c r="B109" s="28"/>
      <c r="C109" s="28"/>
      <c r="D109" s="28"/>
      <c r="E109" s="28"/>
      <c r="F109" s="45"/>
      <c r="G109" s="50"/>
      <c r="H109" s="28"/>
      <c r="I109" s="45"/>
      <c r="J109" s="34"/>
      <c r="K109" s="34"/>
      <c r="L109" s="28"/>
      <c r="M109" s="80"/>
      <c r="N109" s="80"/>
      <c r="O109" s="95"/>
      <c r="P109" s="45"/>
      <c r="Q109" s="96"/>
      <c r="R109" s="28"/>
      <c r="S109" s="97"/>
      <c r="T109" s="34"/>
      <c r="U109" s="96"/>
      <c r="V109" s="98"/>
      <c r="W109" s="1"/>
      <c r="X109" s="1"/>
      <c r="Y109" s="1"/>
    </row>
    <row r="110" ht="15.75" customHeight="1">
      <c r="A110" s="28"/>
      <c r="B110" s="28"/>
      <c r="C110" s="28"/>
      <c r="D110" s="28"/>
      <c r="E110" s="28"/>
      <c r="F110" s="45"/>
      <c r="G110" s="50"/>
      <c r="H110" s="28"/>
      <c r="I110" s="45"/>
      <c r="J110" s="34"/>
      <c r="K110" s="34"/>
      <c r="L110" s="28"/>
      <c r="M110" s="80"/>
      <c r="N110" s="80"/>
      <c r="O110" s="95"/>
      <c r="P110" s="45"/>
      <c r="Q110" s="96"/>
      <c r="R110" s="28"/>
      <c r="S110" s="97"/>
      <c r="T110" s="34"/>
      <c r="U110" s="96"/>
      <c r="V110" s="98"/>
      <c r="W110" s="1"/>
      <c r="X110" s="1"/>
      <c r="Y110" s="1"/>
    </row>
    <row r="111" ht="15.75" customHeight="1">
      <c r="A111" s="28"/>
      <c r="B111" s="28"/>
      <c r="C111" s="28"/>
      <c r="D111" s="28"/>
      <c r="E111" s="28"/>
      <c r="F111" s="45"/>
      <c r="G111" s="50"/>
      <c r="H111" s="28"/>
      <c r="I111" s="45"/>
      <c r="J111" s="34"/>
      <c r="K111" s="34"/>
      <c r="L111" s="28"/>
      <c r="M111" s="80"/>
      <c r="N111" s="80"/>
      <c r="O111" s="95"/>
      <c r="P111" s="45"/>
      <c r="Q111" s="96"/>
      <c r="R111" s="28"/>
      <c r="S111" s="97"/>
      <c r="T111" s="34"/>
      <c r="U111" s="96"/>
      <c r="V111" s="98"/>
      <c r="W111" s="1"/>
      <c r="X111" s="1"/>
      <c r="Y111" s="1"/>
    </row>
    <row r="112" ht="15.75" customHeight="1">
      <c r="A112" s="28"/>
      <c r="B112" s="28"/>
      <c r="C112" s="28"/>
      <c r="D112" s="28"/>
      <c r="E112" s="28"/>
      <c r="F112" s="45"/>
      <c r="G112" s="50"/>
      <c r="H112" s="28"/>
      <c r="I112" s="45"/>
      <c r="J112" s="34"/>
      <c r="K112" s="34"/>
      <c r="L112" s="28"/>
      <c r="M112" s="80"/>
      <c r="N112" s="80"/>
      <c r="O112" s="95"/>
      <c r="P112" s="45"/>
      <c r="Q112" s="96"/>
      <c r="R112" s="28"/>
      <c r="S112" s="97"/>
      <c r="T112" s="34"/>
      <c r="U112" s="96"/>
      <c r="V112" s="98"/>
      <c r="W112" s="1"/>
      <c r="X112" s="1"/>
      <c r="Y112" s="1"/>
    </row>
    <row r="113" ht="15.75" customHeight="1">
      <c r="A113" s="28"/>
      <c r="B113" s="28"/>
      <c r="C113" s="28"/>
      <c r="D113" s="28"/>
      <c r="E113" s="28"/>
      <c r="F113" s="45"/>
      <c r="G113" s="50"/>
      <c r="H113" s="28"/>
      <c r="I113" s="45"/>
      <c r="J113" s="34"/>
      <c r="K113" s="34"/>
      <c r="L113" s="28"/>
      <c r="M113" s="80"/>
      <c r="N113" s="80"/>
      <c r="O113" s="95"/>
      <c r="P113" s="45"/>
      <c r="Q113" s="96"/>
      <c r="R113" s="28"/>
      <c r="S113" s="97"/>
      <c r="T113" s="34"/>
      <c r="U113" s="96"/>
      <c r="V113" s="98"/>
      <c r="W113" s="1"/>
      <c r="X113" s="1"/>
      <c r="Y113" s="1"/>
    </row>
    <row r="114" ht="15.75" customHeight="1">
      <c r="A114" s="28"/>
      <c r="B114" s="28"/>
      <c r="C114" s="28"/>
      <c r="D114" s="28"/>
      <c r="E114" s="28"/>
      <c r="F114" s="45"/>
      <c r="G114" s="50"/>
      <c r="H114" s="28"/>
      <c r="I114" s="45"/>
      <c r="J114" s="34"/>
      <c r="K114" s="34"/>
      <c r="L114" s="28"/>
      <c r="M114" s="80"/>
      <c r="N114" s="80"/>
      <c r="O114" s="95"/>
      <c r="P114" s="45"/>
      <c r="Q114" s="96"/>
      <c r="R114" s="28"/>
      <c r="S114" s="97"/>
      <c r="T114" s="34"/>
      <c r="U114" s="96"/>
      <c r="V114" s="98"/>
      <c r="W114" s="1"/>
      <c r="X114" s="1"/>
      <c r="Y114" s="1"/>
    </row>
    <row r="115" ht="15.75" customHeight="1">
      <c r="A115" s="28"/>
      <c r="B115" s="28"/>
      <c r="C115" s="28"/>
      <c r="D115" s="28"/>
      <c r="E115" s="28"/>
      <c r="F115" s="45"/>
      <c r="G115" s="50"/>
      <c r="H115" s="28"/>
      <c r="I115" s="45"/>
      <c r="J115" s="34"/>
      <c r="K115" s="34"/>
      <c r="L115" s="28"/>
      <c r="M115" s="80"/>
      <c r="N115" s="80"/>
      <c r="O115" s="95"/>
      <c r="P115" s="45"/>
      <c r="Q115" s="96"/>
      <c r="R115" s="28"/>
      <c r="S115" s="97"/>
      <c r="T115" s="34"/>
      <c r="U115" s="96"/>
      <c r="V115" s="98"/>
      <c r="W115" s="1"/>
      <c r="X115" s="1"/>
      <c r="Y115" s="1"/>
    </row>
    <row r="116" ht="15.75" customHeight="1">
      <c r="A116" s="28"/>
      <c r="B116" s="28"/>
      <c r="C116" s="28"/>
      <c r="D116" s="28"/>
      <c r="E116" s="28"/>
      <c r="F116" s="45"/>
      <c r="G116" s="50"/>
      <c r="H116" s="28"/>
      <c r="I116" s="45"/>
      <c r="J116" s="34"/>
      <c r="K116" s="34"/>
      <c r="L116" s="28"/>
      <c r="M116" s="80"/>
      <c r="N116" s="80"/>
      <c r="O116" s="95"/>
      <c r="P116" s="45"/>
      <c r="Q116" s="96"/>
      <c r="R116" s="28"/>
      <c r="S116" s="97"/>
      <c r="T116" s="34"/>
      <c r="U116" s="96"/>
      <c r="V116" s="98"/>
      <c r="W116" s="1"/>
      <c r="X116" s="1"/>
      <c r="Y116" s="1"/>
    </row>
    <row r="117" ht="15.75" customHeight="1">
      <c r="A117" s="28"/>
      <c r="B117" s="28"/>
      <c r="C117" s="28"/>
      <c r="D117" s="28"/>
      <c r="E117" s="28"/>
      <c r="F117" s="45"/>
      <c r="G117" s="50"/>
      <c r="H117" s="28"/>
      <c r="I117" s="45"/>
      <c r="J117" s="34"/>
      <c r="K117" s="34"/>
      <c r="L117" s="28"/>
      <c r="M117" s="80"/>
      <c r="N117" s="80"/>
      <c r="O117" s="95"/>
      <c r="P117" s="45"/>
      <c r="Q117" s="96"/>
      <c r="R117" s="28"/>
      <c r="S117" s="97"/>
      <c r="T117" s="34"/>
      <c r="U117" s="96"/>
      <c r="V117" s="98"/>
      <c r="W117" s="1"/>
      <c r="X117" s="1"/>
      <c r="Y117" s="1"/>
    </row>
    <row r="118" ht="15.75" customHeight="1">
      <c r="A118" s="28"/>
      <c r="B118" s="28"/>
      <c r="C118" s="28"/>
      <c r="D118" s="28"/>
      <c r="E118" s="28"/>
      <c r="F118" s="45"/>
      <c r="G118" s="50"/>
      <c r="H118" s="28"/>
      <c r="I118" s="45"/>
      <c r="J118" s="34"/>
      <c r="K118" s="34"/>
      <c r="L118" s="28"/>
      <c r="M118" s="80"/>
      <c r="N118" s="80"/>
      <c r="O118" s="95"/>
      <c r="P118" s="45"/>
      <c r="Q118" s="96"/>
      <c r="R118" s="28"/>
      <c r="S118" s="97"/>
      <c r="T118" s="34"/>
      <c r="U118" s="96"/>
      <c r="V118" s="98"/>
      <c r="W118" s="1"/>
      <c r="X118" s="1"/>
      <c r="Y118" s="1"/>
    </row>
    <row r="119" ht="15.75" customHeight="1">
      <c r="A119" s="28"/>
      <c r="B119" s="28"/>
      <c r="C119" s="28"/>
      <c r="D119" s="28"/>
      <c r="E119" s="28"/>
      <c r="F119" s="45"/>
      <c r="G119" s="50"/>
      <c r="H119" s="28"/>
      <c r="I119" s="45"/>
      <c r="J119" s="34"/>
      <c r="K119" s="34"/>
      <c r="L119" s="28"/>
      <c r="M119" s="80"/>
      <c r="N119" s="80"/>
      <c r="O119" s="95"/>
      <c r="P119" s="45"/>
      <c r="Q119" s="96"/>
      <c r="R119" s="28"/>
      <c r="S119" s="97"/>
      <c r="T119" s="34"/>
      <c r="U119" s="96"/>
      <c r="V119" s="98"/>
      <c r="W119" s="1"/>
      <c r="X119" s="1"/>
      <c r="Y119" s="1"/>
    </row>
    <row r="120" ht="15.75" customHeight="1">
      <c r="A120" s="28"/>
      <c r="B120" s="28"/>
      <c r="C120" s="28"/>
      <c r="D120" s="28"/>
      <c r="E120" s="28"/>
      <c r="F120" s="45"/>
      <c r="G120" s="50"/>
      <c r="H120" s="28"/>
      <c r="I120" s="45"/>
      <c r="J120" s="34"/>
      <c r="K120" s="34"/>
      <c r="L120" s="28"/>
      <c r="M120" s="80"/>
      <c r="N120" s="80"/>
      <c r="O120" s="95"/>
      <c r="P120" s="45"/>
      <c r="Q120" s="96"/>
      <c r="R120" s="28"/>
      <c r="S120" s="97"/>
      <c r="T120" s="34"/>
      <c r="U120" s="96"/>
      <c r="V120" s="98"/>
      <c r="W120" s="1"/>
      <c r="X120" s="1"/>
      <c r="Y120" s="1"/>
    </row>
    <row r="121" ht="15.75" customHeight="1">
      <c r="A121" s="28"/>
      <c r="B121" s="28"/>
      <c r="C121" s="28"/>
      <c r="D121" s="28"/>
      <c r="E121" s="28"/>
      <c r="F121" s="45"/>
      <c r="G121" s="50"/>
      <c r="H121" s="28"/>
      <c r="I121" s="45"/>
      <c r="J121" s="34"/>
      <c r="K121" s="34"/>
      <c r="L121" s="28"/>
      <c r="M121" s="80"/>
      <c r="N121" s="80"/>
      <c r="O121" s="95"/>
      <c r="P121" s="45"/>
      <c r="Q121" s="96"/>
      <c r="R121" s="28"/>
      <c r="S121" s="97"/>
      <c r="T121" s="34"/>
      <c r="U121" s="96"/>
      <c r="V121" s="98"/>
      <c r="W121" s="1"/>
      <c r="X121" s="1"/>
      <c r="Y121" s="1"/>
    </row>
    <row r="122" ht="15.75" customHeight="1">
      <c r="A122" s="28"/>
      <c r="B122" s="28"/>
      <c r="C122" s="28"/>
      <c r="D122" s="28"/>
      <c r="E122" s="28"/>
      <c r="F122" s="45"/>
      <c r="G122" s="50"/>
      <c r="H122" s="28"/>
      <c r="I122" s="45"/>
      <c r="J122" s="34"/>
      <c r="K122" s="34"/>
      <c r="L122" s="28"/>
      <c r="M122" s="80"/>
      <c r="N122" s="80"/>
      <c r="O122" s="95"/>
      <c r="P122" s="45"/>
      <c r="Q122" s="96"/>
      <c r="R122" s="28"/>
      <c r="S122" s="97"/>
      <c r="T122" s="34"/>
      <c r="U122" s="96"/>
      <c r="V122" s="98"/>
      <c r="W122" s="1"/>
      <c r="X122" s="1"/>
      <c r="Y122" s="1"/>
    </row>
    <row r="123" ht="15.75" customHeight="1">
      <c r="A123" s="28"/>
      <c r="B123" s="28"/>
      <c r="C123" s="28"/>
      <c r="D123" s="28"/>
      <c r="E123" s="28"/>
      <c r="F123" s="45"/>
      <c r="G123" s="50"/>
      <c r="H123" s="28"/>
      <c r="I123" s="45"/>
      <c r="J123" s="34"/>
      <c r="K123" s="34"/>
      <c r="L123" s="28"/>
      <c r="M123" s="80"/>
      <c r="N123" s="80"/>
      <c r="O123" s="95"/>
      <c r="P123" s="45"/>
      <c r="Q123" s="96"/>
      <c r="R123" s="28"/>
      <c r="S123" s="97"/>
      <c r="T123" s="34"/>
      <c r="U123" s="96"/>
      <c r="V123" s="98"/>
      <c r="W123" s="1"/>
      <c r="X123" s="1"/>
      <c r="Y123" s="1"/>
    </row>
    <row r="124" ht="15.75" customHeight="1">
      <c r="A124" s="28"/>
      <c r="B124" s="28"/>
      <c r="C124" s="28"/>
      <c r="D124" s="28"/>
      <c r="E124" s="28"/>
      <c r="F124" s="45"/>
      <c r="G124" s="50"/>
      <c r="H124" s="28"/>
      <c r="I124" s="45"/>
      <c r="J124" s="34"/>
      <c r="K124" s="34"/>
      <c r="L124" s="28"/>
      <c r="M124" s="80"/>
      <c r="N124" s="80"/>
      <c r="O124" s="95"/>
      <c r="P124" s="45"/>
      <c r="Q124" s="96"/>
      <c r="R124" s="28"/>
      <c r="S124" s="97"/>
      <c r="T124" s="34"/>
      <c r="U124" s="96"/>
      <c r="V124" s="98"/>
      <c r="W124" s="1"/>
      <c r="X124" s="1"/>
      <c r="Y124" s="1"/>
    </row>
    <row r="125" ht="15.75" customHeight="1">
      <c r="A125" s="28"/>
      <c r="B125" s="28"/>
      <c r="C125" s="28"/>
      <c r="D125" s="28"/>
      <c r="E125" s="28"/>
      <c r="F125" s="45"/>
      <c r="G125" s="50"/>
      <c r="H125" s="28"/>
      <c r="I125" s="45"/>
      <c r="J125" s="34"/>
      <c r="K125" s="34"/>
      <c r="L125" s="28"/>
      <c r="M125" s="80"/>
      <c r="N125" s="80"/>
      <c r="O125" s="95"/>
      <c r="P125" s="45"/>
      <c r="Q125" s="96"/>
      <c r="R125" s="28"/>
      <c r="S125" s="97"/>
      <c r="T125" s="34"/>
      <c r="U125" s="96"/>
      <c r="V125" s="98"/>
      <c r="W125" s="1"/>
      <c r="X125" s="1"/>
      <c r="Y125" s="1"/>
    </row>
    <row r="126" ht="15.75" customHeight="1">
      <c r="A126" s="28"/>
      <c r="B126" s="28"/>
      <c r="C126" s="28"/>
      <c r="D126" s="28"/>
      <c r="E126" s="28"/>
      <c r="F126" s="45"/>
      <c r="G126" s="50"/>
      <c r="H126" s="28"/>
      <c r="I126" s="45"/>
      <c r="J126" s="34"/>
      <c r="K126" s="34"/>
      <c r="L126" s="28"/>
      <c r="M126" s="80"/>
      <c r="N126" s="80"/>
      <c r="O126" s="95"/>
      <c r="P126" s="45"/>
      <c r="Q126" s="96"/>
      <c r="R126" s="28"/>
      <c r="S126" s="97"/>
      <c r="T126" s="34"/>
      <c r="U126" s="96"/>
      <c r="V126" s="98"/>
      <c r="W126" s="1"/>
      <c r="X126" s="1"/>
      <c r="Y126" s="1"/>
    </row>
    <row r="127" ht="15.75" customHeight="1">
      <c r="A127" s="28"/>
      <c r="B127" s="28"/>
      <c r="C127" s="28"/>
      <c r="D127" s="28"/>
      <c r="E127" s="28"/>
      <c r="F127" s="45"/>
      <c r="G127" s="50"/>
      <c r="H127" s="28"/>
      <c r="I127" s="45"/>
      <c r="J127" s="34"/>
      <c r="K127" s="34"/>
      <c r="L127" s="28"/>
      <c r="M127" s="80"/>
      <c r="N127" s="80"/>
      <c r="O127" s="95"/>
      <c r="P127" s="45"/>
      <c r="Q127" s="96"/>
      <c r="R127" s="28"/>
      <c r="S127" s="97"/>
      <c r="T127" s="34"/>
      <c r="U127" s="96"/>
      <c r="V127" s="98"/>
      <c r="W127" s="1"/>
      <c r="X127" s="1"/>
      <c r="Y127" s="1"/>
    </row>
    <row r="128" ht="15.75" customHeight="1">
      <c r="A128" s="28"/>
      <c r="B128" s="28"/>
      <c r="C128" s="28"/>
      <c r="D128" s="28"/>
      <c r="E128" s="28"/>
      <c r="F128" s="45"/>
      <c r="G128" s="50"/>
      <c r="H128" s="28"/>
      <c r="I128" s="45"/>
      <c r="J128" s="34"/>
      <c r="K128" s="34"/>
      <c r="L128" s="28"/>
      <c r="M128" s="80"/>
      <c r="N128" s="80"/>
      <c r="O128" s="95"/>
      <c r="P128" s="45"/>
      <c r="Q128" s="96"/>
      <c r="R128" s="28"/>
      <c r="S128" s="97"/>
      <c r="T128" s="34"/>
      <c r="U128" s="96"/>
      <c r="V128" s="98"/>
      <c r="W128" s="1"/>
      <c r="X128" s="1"/>
      <c r="Y128" s="1"/>
    </row>
    <row r="129" ht="15.75" customHeight="1">
      <c r="A129" s="28"/>
      <c r="B129" s="28"/>
      <c r="C129" s="28"/>
      <c r="D129" s="28"/>
      <c r="E129" s="28"/>
      <c r="F129" s="45"/>
      <c r="G129" s="50"/>
      <c r="H129" s="28"/>
      <c r="I129" s="45"/>
      <c r="J129" s="34"/>
      <c r="K129" s="34"/>
      <c r="L129" s="28"/>
      <c r="M129" s="80"/>
      <c r="N129" s="80"/>
      <c r="O129" s="95"/>
      <c r="P129" s="45"/>
      <c r="Q129" s="96"/>
      <c r="R129" s="28"/>
      <c r="S129" s="97"/>
      <c r="T129" s="34"/>
      <c r="U129" s="96"/>
      <c r="V129" s="98"/>
      <c r="W129" s="1"/>
      <c r="X129" s="1"/>
      <c r="Y129" s="1"/>
    </row>
    <row r="130" ht="15.75" customHeight="1">
      <c r="A130" s="28"/>
      <c r="B130" s="28"/>
      <c r="C130" s="28"/>
      <c r="D130" s="28"/>
      <c r="E130" s="28"/>
      <c r="F130" s="45"/>
      <c r="G130" s="50"/>
      <c r="H130" s="28"/>
      <c r="I130" s="45"/>
      <c r="J130" s="34"/>
      <c r="K130" s="34"/>
      <c r="L130" s="28"/>
      <c r="M130" s="80"/>
      <c r="N130" s="80"/>
      <c r="O130" s="95"/>
      <c r="P130" s="45"/>
      <c r="Q130" s="96"/>
      <c r="R130" s="28"/>
      <c r="S130" s="97"/>
      <c r="T130" s="34"/>
      <c r="U130" s="96"/>
      <c r="V130" s="98"/>
      <c r="W130" s="1"/>
      <c r="X130" s="1"/>
      <c r="Y130" s="1"/>
    </row>
    <row r="131" ht="15.75" customHeight="1">
      <c r="A131" s="28"/>
      <c r="B131" s="28"/>
      <c r="C131" s="28"/>
      <c r="D131" s="28"/>
      <c r="E131" s="28"/>
      <c r="F131" s="45"/>
      <c r="G131" s="50"/>
      <c r="H131" s="28"/>
      <c r="I131" s="45"/>
      <c r="J131" s="34"/>
      <c r="K131" s="34"/>
      <c r="L131" s="28"/>
      <c r="M131" s="80"/>
      <c r="N131" s="80"/>
      <c r="O131" s="95"/>
      <c r="P131" s="45"/>
      <c r="Q131" s="96"/>
      <c r="R131" s="28"/>
      <c r="S131" s="97"/>
      <c r="T131" s="34"/>
      <c r="U131" s="96"/>
      <c r="V131" s="98"/>
      <c r="W131" s="1"/>
      <c r="X131" s="1"/>
      <c r="Y131" s="1"/>
    </row>
    <row r="132" ht="15.75" customHeight="1">
      <c r="A132" s="28"/>
      <c r="B132" s="28"/>
      <c r="C132" s="28"/>
      <c r="D132" s="28"/>
      <c r="E132" s="28"/>
      <c r="F132" s="45"/>
      <c r="G132" s="50"/>
      <c r="H132" s="28"/>
      <c r="I132" s="45"/>
      <c r="J132" s="34"/>
      <c r="K132" s="34"/>
      <c r="L132" s="28"/>
      <c r="M132" s="80"/>
      <c r="N132" s="80"/>
      <c r="O132" s="95"/>
      <c r="P132" s="45"/>
      <c r="Q132" s="96"/>
      <c r="R132" s="28"/>
      <c r="S132" s="97"/>
      <c r="T132" s="34"/>
      <c r="U132" s="96"/>
      <c r="V132" s="98"/>
      <c r="W132" s="1"/>
      <c r="X132" s="1"/>
      <c r="Y132" s="1"/>
    </row>
    <row r="133" ht="15.75" customHeight="1">
      <c r="A133" s="28"/>
      <c r="B133" s="28"/>
      <c r="C133" s="28"/>
      <c r="D133" s="28"/>
      <c r="E133" s="28"/>
      <c r="F133" s="45"/>
      <c r="G133" s="50"/>
      <c r="H133" s="28"/>
      <c r="I133" s="45"/>
      <c r="J133" s="34"/>
      <c r="K133" s="34"/>
      <c r="L133" s="28"/>
      <c r="M133" s="80"/>
      <c r="N133" s="80"/>
      <c r="O133" s="95"/>
      <c r="P133" s="45"/>
      <c r="Q133" s="96"/>
      <c r="R133" s="28"/>
      <c r="S133" s="97"/>
      <c r="T133" s="34"/>
      <c r="U133" s="96"/>
      <c r="V133" s="98"/>
      <c r="W133" s="1"/>
      <c r="X133" s="1"/>
      <c r="Y133" s="1"/>
    </row>
    <row r="134" ht="15.75" customHeight="1">
      <c r="A134" s="28"/>
      <c r="B134" s="28"/>
      <c r="C134" s="28"/>
      <c r="D134" s="28"/>
      <c r="E134" s="28"/>
      <c r="F134" s="45"/>
      <c r="G134" s="50"/>
      <c r="H134" s="28"/>
      <c r="I134" s="45"/>
      <c r="J134" s="34"/>
      <c r="K134" s="34"/>
      <c r="L134" s="28"/>
      <c r="M134" s="80"/>
      <c r="N134" s="80"/>
      <c r="O134" s="95"/>
      <c r="P134" s="45"/>
      <c r="Q134" s="96"/>
      <c r="R134" s="28"/>
      <c r="S134" s="97"/>
      <c r="T134" s="34"/>
      <c r="U134" s="96"/>
      <c r="V134" s="98"/>
      <c r="W134" s="1"/>
      <c r="X134" s="1"/>
      <c r="Y134" s="1"/>
    </row>
    <row r="135" ht="15.75" customHeight="1">
      <c r="A135" s="28"/>
      <c r="B135" s="28"/>
      <c r="C135" s="28"/>
      <c r="D135" s="28"/>
      <c r="E135" s="28"/>
      <c r="F135" s="45"/>
      <c r="G135" s="50"/>
      <c r="H135" s="28"/>
      <c r="I135" s="45"/>
      <c r="J135" s="34"/>
      <c r="K135" s="34"/>
      <c r="L135" s="28"/>
      <c r="M135" s="80"/>
      <c r="N135" s="80"/>
      <c r="O135" s="95"/>
      <c r="P135" s="45"/>
      <c r="Q135" s="96"/>
      <c r="R135" s="28"/>
      <c r="S135" s="97"/>
      <c r="T135" s="34"/>
      <c r="U135" s="96"/>
      <c r="V135" s="98"/>
      <c r="W135" s="1"/>
      <c r="X135" s="1"/>
      <c r="Y135" s="1"/>
    </row>
    <row r="136" ht="15.75" customHeight="1">
      <c r="A136" s="28"/>
      <c r="B136" s="28"/>
      <c r="C136" s="28"/>
      <c r="D136" s="28"/>
      <c r="E136" s="28"/>
      <c r="F136" s="45"/>
      <c r="G136" s="50"/>
      <c r="H136" s="28"/>
      <c r="I136" s="45"/>
      <c r="J136" s="34"/>
      <c r="K136" s="34"/>
      <c r="L136" s="28"/>
      <c r="M136" s="80"/>
      <c r="N136" s="80"/>
      <c r="O136" s="95"/>
      <c r="P136" s="45"/>
      <c r="Q136" s="96"/>
      <c r="R136" s="28"/>
      <c r="S136" s="97"/>
      <c r="T136" s="34"/>
      <c r="U136" s="96"/>
      <c r="V136" s="98"/>
      <c r="W136" s="1"/>
      <c r="X136" s="1"/>
      <c r="Y136" s="1"/>
    </row>
    <row r="137" ht="15.75" customHeight="1">
      <c r="A137" s="28"/>
      <c r="B137" s="28"/>
      <c r="C137" s="28"/>
      <c r="D137" s="28"/>
      <c r="E137" s="28"/>
      <c r="F137" s="45"/>
      <c r="G137" s="50"/>
      <c r="H137" s="28"/>
      <c r="I137" s="45"/>
      <c r="J137" s="34"/>
      <c r="K137" s="34"/>
      <c r="L137" s="28"/>
      <c r="M137" s="80"/>
      <c r="N137" s="80"/>
      <c r="O137" s="95"/>
      <c r="P137" s="45"/>
      <c r="Q137" s="96"/>
      <c r="R137" s="28"/>
      <c r="S137" s="97"/>
      <c r="T137" s="34"/>
      <c r="U137" s="96"/>
      <c r="V137" s="98"/>
      <c r="W137" s="1"/>
      <c r="X137" s="1"/>
      <c r="Y137" s="1"/>
    </row>
    <row r="138" ht="15.75" customHeight="1">
      <c r="A138" s="28"/>
      <c r="B138" s="28"/>
      <c r="C138" s="28"/>
      <c r="D138" s="28"/>
      <c r="E138" s="28"/>
      <c r="F138" s="45"/>
      <c r="G138" s="50"/>
      <c r="H138" s="28"/>
      <c r="I138" s="45"/>
      <c r="J138" s="34"/>
      <c r="K138" s="34"/>
      <c r="L138" s="28"/>
      <c r="M138" s="80"/>
      <c r="N138" s="80"/>
      <c r="O138" s="95"/>
      <c r="P138" s="45"/>
      <c r="Q138" s="96"/>
      <c r="R138" s="28"/>
      <c r="S138" s="97"/>
      <c r="T138" s="34"/>
      <c r="U138" s="96"/>
      <c r="V138" s="98"/>
      <c r="W138" s="1"/>
      <c r="X138" s="1"/>
      <c r="Y138" s="1"/>
    </row>
    <row r="139" ht="15.75" customHeight="1">
      <c r="A139" s="28"/>
      <c r="B139" s="28"/>
      <c r="C139" s="28"/>
      <c r="D139" s="28"/>
      <c r="E139" s="28"/>
      <c r="F139" s="45"/>
      <c r="G139" s="50"/>
      <c r="H139" s="28"/>
      <c r="I139" s="45"/>
      <c r="J139" s="34"/>
      <c r="K139" s="34"/>
      <c r="L139" s="28"/>
      <c r="M139" s="80"/>
      <c r="N139" s="80"/>
      <c r="O139" s="95"/>
      <c r="P139" s="45"/>
      <c r="Q139" s="96"/>
      <c r="R139" s="28"/>
      <c r="S139" s="97"/>
      <c r="T139" s="34"/>
      <c r="U139" s="96"/>
      <c r="V139" s="98"/>
      <c r="W139" s="1"/>
      <c r="X139" s="1"/>
      <c r="Y139" s="1"/>
    </row>
    <row r="140" ht="15.75" customHeight="1">
      <c r="A140" s="28"/>
      <c r="B140" s="28"/>
      <c r="C140" s="28"/>
      <c r="D140" s="28"/>
      <c r="E140" s="28"/>
      <c r="F140" s="45"/>
      <c r="G140" s="50"/>
      <c r="H140" s="28"/>
      <c r="I140" s="45"/>
      <c r="J140" s="34"/>
      <c r="K140" s="34"/>
      <c r="L140" s="28"/>
      <c r="M140" s="80"/>
      <c r="N140" s="80"/>
      <c r="O140" s="95"/>
      <c r="P140" s="45"/>
      <c r="Q140" s="96"/>
      <c r="R140" s="28"/>
      <c r="S140" s="97"/>
      <c r="T140" s="34"/>
      <c r="U140" s="96"/>
      <c r="V140" s="98"/>
      <c r="W140" s="1"/>
      <c r="X140" s="1"/>
      <c r="Y140" s="1"/>
    </row>
    <row r="141" ht="15.75" customHeight="1">
      <c r="A141" s="28"/>
      <c r="B141" s="28"/>
      <c r="C141" s="28"/>
      <c r="D141" s="28"/>
      <c r="E141" s="28"/>
      <c r="F141" s="45"/>
      <c r="G141" s="50"/>
      <c r="H141" s="28"/>
      <c r="I141" s="45"/>
      <c r="J141" s="34"/>
      <c r="K141" s="34"/>
      <c r="L141" s="28"/>
      <c r="M141" s="80"/>
      <c r="N141" s="80"/>
      <c r="O141" s="95"/>
      <c r="P141" s="45"/>
      <c r="Q141" s="96"/>
      <c r="R141" s="28"/>
      <c r="S141" s="97"/>
      <c r="T141" s="34"/>
      <c r="U141" s="96"/>
      <c r="V141" s="98"/>
      <c r="W141" s="1"/>
      <c r="X141" s="1"/>
      <c r="Y141" s="1"/>
    </row>
    <row r="142" ht="15.75" customHeight="1">
      <c r="A142" s="28"/>
      <c r="B142" s="28"/>
      <c r="C142" s="28"/>
      <c r="D142" s="28"/>
      <c r="E142" s="28"/>
      <c r="F142" s="45"/>
      <c r="G142" s="50"/>
      <c r="H142" s="28"/>
      <c r="I142" s="45"/>
      <c r="J142" s="34"/>
      <c r="K142" s="34"/>
      <c r="L142" s="28"/>
      <c r="M142" s="80"/>
      <c r="N142" s="80"/>
      <c r="O142" s="95"/>
      <c r="P142" s="45"/>
      <c r="Q142" s="96"/>
      <c r="R142" s="28"/>
      <c r="S142" s="97"/>
      <c r="T142" s="34"/>
      <c r="U142" s="96"/>
      <c r="V142" s="98"/>
      <c r="W142" s="1"/>
      <c r="X142" s="1"/>
      <c r="Y142" s="1"/>
    </row>
    <row r="143" ht="15.75" customHeight="1">
      <c r="A143" s="28"/>
      <c r="B143" s="28"/>
      <c r="C143" s="28"/>
      <c r="D143" s="28"/>
      <c r="E143" s="28"/>
      <c r="F143" s="45"/>
      <c r="G143" s="50"/>
      <c r="H143" s="28"/>
      <c r="I143" s="45"/>
      <c r="J143" s="34"/>
      <c r="K143" s="34"/>
      <c r="L143" s="28"/>
      <c r="M143" s="80"/>
      <c r="N143" s="80"/>
      <c r="O143" s="95"/>
      <c r="P143" s="45"/>
      <c r="Q143" s="96"/>
      <c r="R143" s="28"/>
      <c r="S143" s="97"/>
      <c r="T143" s="34"/>
      <c r="U143" s="96"/>
      <c r="V143" s="98"/>
      <c r="W143" s="1"/>
      <c r="X143" s="1"/>
      <c r="Y143" s="1"/>
    </row>
    <row r="144" ht="15.75" customHeight="1">
      <c r="A144" s="28"/>
      <c r="B144" s="28"/>
      <c r="C144" s="28"/>
      <c r="D144" s="28"/>
      <c r="E144" s="28"/>
      <c r="F144" s="45"/>
      <c r="G144" s="50"/>
      <c r="H144" s="28"/>
      <c r="I144" s="45"/>
      <c r="J144" s="34"/>
      <c r="K144" s="34"/>
      <c r="L144" s="28"/>
      <c r="M144" s="80"/>
      <c r="N144" s="80"/>
      <c r="O144" s="95"/>
      <c r="P144" s="45"/>
      <c r="Q144" s="96"/>
      <c r="R144" s="28"/>
      <c r="S144" s="97"/>
      <c r="T144" s="34"/>
      <c r="U144" s="96"/>
      <c r="V144" s="98"/>
      <c r="W144" s="1"/>
      <c r="X144" s="1"/>
      <c r="Y144" s="1"/>
    </row>
    <row r="145" ht="15.75" customHeight="1">
      <c r="A145" s="28"/>
      <c r="B145" s="28"/>
      <c r="C145" s="28"/>
      <c r="D145" s="28"/>
      <c r="E145" s="28"/>
      <c r="F145" s="45"/>
      <c r="G145" s="50"/>
      <c r="H145" s="28"/>
      <c r="I145" s="45"/>
      <c r="J145" s="34"/>
      <c r="K145" s="34"/>
      <c r="L145" s="28"/>
      <c r="M145" s="80"/>
      <c r="N145" s="80"/>
      <c r="O145" s="95"/>
      <c r="P145" s="45"/>
      <c r="Q145" s="96"/>
      <c r="R145" s="28"/>
      <c r="S145" s="97"/>
      <c r="T145" s="34"/>
      <c r="U145" s="96"/>
      <c r="V145" s="98"/>
      <c r="W145" s="1"/>
      <c r="X145" s="1"/>
      <c r="Y145" s="1"/>
    </row>
    <row r="146" ht="15.75" customHeight="1">
      <c r="A146" s="28"/>
      <c r="B146" s="28"/>
      <c r="C146" s="28"/>
      <c r="D146" s="28"/>
      <c r="E146" s="28"/>
      <c r="F146" s="45"/>
      <c r="G146" s="50"/>
      <c r="H146" s="28"/>
      <c r="I146" s="45"/>
      <c r="J146" s="34"/>
      <c r="K146" s="34"/>
      <c r="L146" s="28"/>
      <c r="M146" s="80"/>
      <c r="N146" s="80"/>
      <c r="O146" s="95"/>
      <c r="P146" s="45"/>
      <c r="Q146" s="96"/>
      <c r="R146" s="28"/>
      <c r="S146" s="97"/>
      <c r="T146" s="34"/>
      <c r="U146" s="96"/>
      <c r="V146" s="98"/>
      <c r="W146" s="1"/>
      <c r="X146" s="1"/>
      <c r="Y146" s="1"/>
    </row>
    <row r="147" ht="15.75" customHeight="1">
      <c r="A147" s="28"/>
      <c r="B147" s="28"/>
      <c r="C147" s="28"/>
      <c r="D147" s="28"/>
      <c r="E147" s="28"/>
      <c r="F147" s="45"/>
      <c r="G147" s="50"/>
      <c r="H147" s="28"/>
      <c r="I147" s="45"/>
      <c r="J147" s="34"/>
      <c r="K147" s="34"/>
      <c r="L147" s="28"/>
      <c r="M147" s="80"/>
      <c r="N147" s="80"/>
      <c r="O147" s="95"/>
      <c r="P147" s="45"/>
      <c r="Q147" s="96"/>
      <c r="R147" s="28"/>
      <c r="S147" s="97"/>
      <c r="T147" s="34"/>
      <c r="U147" s="96"/>
      <c r="V147" s="98"/>
      <c r="W147" s="1"/>
      <c r="X147" s="1"/>
      <c r="Y147" s="1"/>
    </row>
    <row r="148" ht="15.75" customHeight="1">
      <c r="A148" s="28"/>
      <c r="B148" s="28"/>
      <c r="C148" s="28"/>
      <c r="D148" s="28"/>
      <c r="E148" s="28"/>
      <c r="F148" s="45"/>
      <c r="G148" s="50"/>
      <c r="H148" s="28"/>
      <c r="I148" s="45"/>
      <c r="J148" s="34"/>
      <c r="K148" s="34"/>
      <c r="L148" s="28"/>
      <c r="M148" s="80"/>
      <c r="N148" s="80"/>
      <c r="O148" s="95"/>
      <c r="P148" s="45"/>
      <c r="Q148" s="96"/>
      <c r="R148" s="28"/>
      <c r="S148" s="97"/>
      <c r="T148" s="34"/>
      <c r="U148" s="96"/>
      <c r="V148" s="98"/>
      <c r="W148" s="1"/>
      <c r="X148" s="1"/>
      <c r="Y148" s="1"/>
    </row>
    <row r="149" ht="15.75" customHeight="1">
      <c r="A149" s="28"/>
      <c r="B149" s="28"/>
      <c r="C149" s="28"/>
      <c r="D149" s="28"/>
      <c r="E149" s="28"/>
      <c r="F149" s="45"/>
      <c r="G149" s="50"/>
      <c r="H149" s="28"/>
      <c r="I149" s="45"/>
      <c r="J149" s="34"/>
      <c r="K149" s="34"/>
      <c r="L149" s="28"/>
      <c r="M149" s="80"/>
      <c r="N149" s="80"/>
      <c r="O149" s="95"/>
      <c r="P149" s="45"/>
      <c r="Q149" s="96"/>
      <c r="R149" s="28"/>
      <c r="S149" s="97"/>
      <c r="T149" s="34"/>
      <c r="U149" s="96"/>
      <c r="V149" s="98"/>
      <c r="W149" s="1"/>
      <c r="X149" s="1"/>
      <c r="Y149" s="1"/>
    </row>
    <row r="150" ht="15.75" customHeight="1">
      <c r="A150" s="28"/>
      <c r="B150" s="28"/>
      <c r="C150" s="28"/>
      <c r="D150" s="28"/>
      <c r="E150" s="28"/>
      <c r="F150" s="45"/>
      <c r="G150" s="50"/>
      <c r="H150" s="28"/>
      <c r="I150" s="45"/>
      <c r="J150" s="34"/>
      <c r="K150" s="34"/>
      <c r="L150" s="28"/>
      <c r="M150" s="80"/>
      <c r="N150" s="80"/>
      <c r="O150" s="95"/>
      <c r="P150" s="45"/>
      <c r="Q150" s="96"/>
      <c r="R150" s="28"/>
      <c r="S150" s="97"/>
      <c r="T150" s="34"/>
      <c r="U150" s="96"/>
      <c r="V150" s="98"/>
      <c r="W150" s="1"/>
      <c r="X150" s="1"/>
      <c r="Y150" s="1"/>
    </row>
    <row r="151" ht="15.75" customHeight="1">
      <c r="A151" s="28"/>
      <c r="B151" s="28"/>
      <c r="C151" s="28"/>
      <c r="D151" s="28"/>
      <c r="E151" s="28"/>
      <c r="F151" s="45"/>
      <c r="G151" s="50"/>
      <c r="H151" s="28"/>
      <c r="I151" s="45"/>
      <c r="J151" s="34"/>
      <c r="K151" s="34"/>
      <c r="L151" s="28"/>
      <c r="M151" s="80"/>
      <c r="N151" s="80"/>
      <c r="O151" s="95"/>
      <c r="P151" s="45"/>
      <c r="Q151" s="96"/>
      <c r="R151" s="28"/>
      <c r="S151" s="97"/>
      <c r="T151" s="34"/>
      <c r="U151" s="96"/>
      <c r="V151" s="98"/>
      <c r="W151" s="1"/>
      <c r="X151" s="1"/>
      <c r="Y151" s="1"/>
    </row>
    <row r="152" ht="15.75" customHeight="1">
      <c r="A152" s="28"/>
      <c r="B152" s="28"/>
      <c r="C152" s="28"/>
      <c r="D152" s="28"/>
      <c r="E152" s="28"/>
      <c r="F152" s="45"/>
      <c r="G152" s="50"/>
      <c r="H152" s="28"/>
      <c r="I152" s="45"/>
      <c r="J152" s="34"/>
      <c r="K152" s="34"/>
      <c r="L152" s="28"/>
      <c r="M152" s="80"/>
      <c r="N152" s="80"/>
      <c r="O152" s="95"/>
      <c r="P152" s="45"/>
      <c r="Q152" s="96"/>
      <c r="R152" s="28"/>
      <c r="S152" s="97"/>
      <c r="T152" s="34"/>
      <c r="U152" s="96"/>
      <c r="V152" s="98"/>
      <c r="W152" s="1"/>
      <c r="X152" s="1"/>
      <c r="Y152" s="1"/>
    </row>
    <row r="153" ht="15.75" customHeight="1">
      <c r="A153" s="28"/>
      <c r="B153" s="28"/>
      <c r="C153" s="28"/>
      <c r="D153" s="28"/>
      <c r="E153" s="28"/>
      <c r="F153" s="45"/>
      <c r="G153" s="50"/>
      <c r="H153" s="28"/>
      <c r="I153" s="45"/>
      <c r="J153" s="34"/>
      <c r="K153" s="34"/>
      <c r="L153" s="28"/>
      <c r="M153" s="80"/>
      <c r="N153" s="80"/>
      <c r="O153" s="95"/>
      <c r="P153" s="45"/>
      <c r="Q153" s="96"/>
      <c r="R153" s="28"/>
      <c r="S153" s="97"/>
      <c r="T153" s="34"/>
      <c r="U153" s="96"/>
      <c r="V153" s="98"/>
      <c r="W153" s="1"/>
      <c r="X153" s="1"/>
      <c r="Y153" s="1"/>
    </row>
    <row r="154" ht="15.75" customHeight="1">
      <c r="A154" s="28"/>
      <c r="B154" s="28"/>
      <c r="C154" s="28"/>
      <c r="D154" s="28"/>
      <c r="E154" s="28"/>
      <c r="F154" s="45"/>
      <c r="G154" s="50"/>
      <c r="H154" s="28"/>
      <c r="I154" s="45"/>
      <c r="J154" s="34"/>
      <c r="K154" s="34"/>
      <c r="L154" s="28"/>
      <c r="M154" s="80"/>
      <c r="N154" s="80"/>
      <c r="O154" s="95"/>
      <c r="P154" s="45"/>
      <c r="Q154" s="96"/>
      <c r="R154" s="28"/>
      <c r="S154" s="97"/>
      <c r="T154" s="34"/>
      <c r="U154" s="96"/>
      <c r="V154" s="98"/>
      <c r="W154" s="1"/>
      <c r="X154" s="1"/>
      <c r="Y154" s="1"/>
    </row>
    <row r="155" ht="15.75" customHeight="1">
      <c r="A155" s="28"/>
      <c r="B155" s="28"/>
      <c r="C155" s="28"/>
      <c r="D155" s="28"/>
      <c r="E155" s="28"/>
      <c r="F155" s="45"/>
      <c r="G155" s="50"/>
      <c r="H155" s="28"/>
      <c r="I155" s="45"/>
      <c r="J155" s="34"/>
      <c r="K155" s="34"/>
      <c r="L155" s="28"/>
      <c r="M155" s="80"/>
      <c r="N155" s="80"/>
      <c r="O155" s="95"/>
      <c r="P155" s="45"/>
      <c r="Q155" s="96"/>
      <c r="R155" s="28"/>
      <c r="S155" s="97"/>
      <c r="T155" s="34"/>
      <c r="U155" s="96"/>
      <c r="V155" s="98"/>
      <c r="W155" s="1"/>
      <c r="X155" s="1"/>
      <c r="Y155" s="1"/>
    </row>
    <row r="156" ht="15.75" customHeight="1">
      <c r="A156" s="28"/>
      <c r="B156" s="28"/>
      <c r="C156" s="28"/>
      <c r="D156" s="28"/>
      <c r="E156" s="28"/>
      <c r="F156" s="45"/>
      <c r="G156" s="50"/>
      <c r="H156" s="28"/>
      <c r="I156" s="45"/>
      <c r="J156" s="34"/>
      <c r="K156" s="34"/>
      <c r="L156" s="28"/>
      <c r="M156" s="80"/>
      <c r="N156" s="80"/>
      <c r="O156" s="95"/>
      <c r="P156" s="45"/>
      <c r="Q156" s="96"/>
      <c r="R156" s="28"/>
      <c r="S156" s="97"/>
      <c r="T156" s="34"/>
      <c r="U156" s="96"/>
      <c r="V156" s="98"/>
      <c r="W156" s="1"/>
      <c r="X156" s="1"/>
      <c r="Y156" s="1"/>
    </row>
    <row r="157" ht="15.75" customHeight="1">
      <c r="A157" s="28"/>
      <c r="B157" s="28"/>
      <c r="C157" s="28"/>
      <c r="D157" s="28"/>
      <c r="E157" s="28"/>
      <c r="F157" s="45"/>
      <c r="G157" s="50"/>
      <c r="H157" s="28"/>
      <c r="I157" s="45"/>
      <c r="J157" s="34"/>
      <c r="K157" s="34"/>
      <c r="L157" s="28"/>
      <c r="M157" s="80"/>
      <c r="N157" s="80"/>
      <c r="O157" s="95"/>
      <c r="P157" s="45"/>
      <c r="Q157" s="96"/>
      <c r="R157" s="28"/>
      <c r="S157" s="97"/>
      <c r="T157" s="34"/>
      <c r="U157" s="96"/>
      <c r="V157" s="98"/>
      <c r="W157" s="1"/>
      <c r="X157" s="1"/>
      <c r="Y157" s="1"/>
    </row>
    <row r="158" ht="15.75" customHeight="1">
      <c r="A158" s="28"/>
      <c r="B158" s="28"/>
      <c r="C158" s="28"/>
      <c r="D158" s="28"/>
      <c r="E158" s="28"/>
      <c r="F158" s="45"/>
      <c r="G158" s="50"/>
      <c r="H158" s="28"/>
      <c r="I158" s="45"/>
      <c r="J158" s="34"/>
      <c r="K158" s="34"/>
      <c r="L158" s="28"/>
      <c r="M158" s="80"/>
      <c r="N158" s="80"/>
      <c r="O158" s="95"/>
      <c r="P158" s="45"/>
      <c r="Q158" s="96"/>
      <c r="R158" s="28"/>
      <c r="S158" s="97"/>
      <c r="T158" s="34"/>
      <c r="U158" s="96"/>
      <c r="V158" s="98"/>
      <c r="W158" s="1"/>
      <c r="X158" s="1"/>
      <c r="Y158" s="1"/>
    </row>
    <row r="159" ht="15.75" customHeight="1">
      <c r="A159" s="28"/>
      <c r="B159" s="28"/>
      <c r="C159" s="28"/>
      <c r="D159" s="28"/>
      <c r="E159" s="28"/>
      <c r="F159" s="45"/>
      <c r="G159" s="50"/>
      <c r="H159" s="28"/>
      <c r="I159" s="45"/>
      <c r="J159" s="34"/>
      <c r="K159" s="34"/>
      <c r="L159" s="28"/>
      <c r="M159" s="80"/>
      <c r="N159" s="80"/>
      <c r="O159" s="95"/>
      <c r="P159" s="45"/>
      <c r="Q159" s="96"/>
      <c r="R159" s="28"/>
      <c r="S159" s="97"/>
      <c r="T159" s="34"/>
      <c r="U159" s="96"/>
      <c r="V159" s="98"/>
      <c r="W159" s="1"/>
      <c r="X159" s="1"/>
      <c r="Y159" s="1"/>
    </row>
    <row r="160" ht="15.75" customHeight="1">
      <c r="A160" s="28"/>
      <c r="B160" s="28"/>
      <c r="C160" s="28"/>
      <c r="D160" s="28"/>
      <c r="E160" s="28"/>
      <c r="F160" s="45"/>
      <c r="G160" s="50"/>
      <c r="H160" s="28"/>
      <c r="I160" s="45"/>
      <c r="J160" s="34"/>
      <c r="K160" s="34"/>
      <c r="L160" s="28"/>
      <c r="M160" s="80"/>
      <c r="N160" s="80"/>
      <c r="O160" s="95"/>
      <c r="P160" s="45"/>
      <c r="Q160" s="96"/>
      <c r="R160" s="28"/>
      <c r="S160" s="97"/>
      <c r="T160" s="34"/>
      <c r="U160" s="96"/>
      <c r="V160" s="98"/>
      <c r="W160" s="1"/>
      <c r="X160" s="1"/>
      <c r="Y160" s="1"/>
    </row>
    <row r="161" ht="15.75" customHeight="1">
      <c r="A161" s="28"/>
      <c r="B161" s="28"/>
      <c r="C161" s="28"/>
      <c r="D161" s="28"/>
      <c r="E161" s="28"/>
      <c r="F161" s="45"/>
      <c r="G161" s="50"/>
      <c r="H161" s="28"/>
      <c r="I161" s="45"/>
      <c r="J161" s="34"/>
      <c r="K161" s="34"/>
      <c r="L161" s="28"/>
      <c r="M161" s="80"/>
      <c r="N161" s="80"/>
      <c r="O161" s="95"/>
      <c r="P161" s="45"/>
      <c r="Q161" s="96"/>
      <c r="R161" s="28"/>
      <c r="S161" s="97"/>
      <c r="T161" s="34"/>
      <c r="U161" s="96"/>
      <c r="V161" s="98"/>
      <c r="W161" s="1"/>
      <c r="X161" s="1"/>
      <c r="Y161" s="1"/>
    </row>
    <row r="162" ht="15.75" customHeight="1">
      <c r="A162" s="28"/>
      <c r="B162" s="28"/>
      <c r="C162" s="28"/>
      <c r="D162" s="28"/>
      <c r="E162" s="28"/>
      <c r="F162" s="45"/>
      <c r="G162" s="50"/>
      <c r="H162" s="28"/>
      <c r="I162" s="45"/>
      <c r="J162" s="34"/>
      <c r="K162" s="34"/>
      <c r="L162" s="28"/>
      <c r="M162" s="80"/>
      <c r="N162" s="80"/>
      <c r="O162" s="95"/>
      <c r="P162" s="45"/>
      <c r="Q162" s="96"/>
      <c r="R162" s="28"/>
      <c r="S162" s="97"/>
      <c r="T162" s="34"/>
      <c r="U162" s="96"/>
      <c r="V162" s="98"/>
      <c r="W162" s="1"/>
      <c r="X162" s="1"/>
      <c r="Y162" s="1"/>
    </row>
    <row r="163" ht="15.75" customHeight="1">
      <c r="A163" s="28"/>
      <c r="B163" s="28"/>
      <c r="C163" s="28"/>
      <c r="D163" s="28"/>
      <c r="E163" s="28"/>
      <c r="F163" s="45"/>
      <c r="G163" s="50"/>
      <c r="H163" s="28"/>
      <c r="I163" s="45"/>
      <c r="J163" s="34"/>
      <c r="K163" s="34"/>
      <c r="L163" s="28"/>
      <c r="M163" s="80"/>
      <c r="N163" s="80"/>
      <c r="O163" s="95"/>
      <c r="P163" s="45"/>
      <c r="Q163" s="96"/>
      <c r="R163" s="28"/>
      <c r="S163" s="97"/>
      <c r="T163" s="34"/>
      <c r="U163" s="96"/>
      <c r="V163" s="98"/>
      <c r="W163" s="1"/>
      <c r="X163" s="1"/>
      <c r="Y163" s="1"/>
    </row>
    <row r="164" ht="15.75" customHeight="1">
      <c r="A164" s="28"/>
      <c r="B164" s="28"/>
      <c r="C164" s="28"/>
      <c r="D164" s="28"/>
      <c r="E164" s="28"/>
      <c r="F164" s="45"/>
      <c r="G164" s="50"/>
      <c r="H164" s="28"/>
      <c r="I164" s="45"/>
      <c r="J164" s="34"/>
      <c r="K164" s="34"/>
      <c r="L164" s="28"/>
      <c r="M164" s="80"/>
      <c r="N164" s="80"/>
      <c r="O164" s="95"/>
      <c r="P164" s="45"/>
      <c r="Q164" s="96"/>
      <c r="R164" s="28"/>
      <c r="S164" s="97"/>
      <c r="T164" s="34"/>
      <c r="U164" s="96"/>
      <c r="V164" s="98"/>
      <c r="W164" s="1"/>
      <c r="X164" s="1"/>
      <c r="Y164" s="1"/>
    </row>
    <row r="165" ht="15.75" customHeight="1">
      <c r="A165" s="28"/>
      <c r="B165" s="28"/>
      <c r="C165" s="28"/>
      <c r="D165" s="28"/>
      <c r="E165" s="28"/>
      <c r="F165" s="45"/>
      <c r="G165" s="50"/>
      <c r="H165" s="28"/>
      <c r="I165" s="45"/>
      <c r="J165" s="34"/>
      <c r="K165" s="34"/>
      <c r="L165" s="28"/>
      <c r="M165" s="80"/>
      <c r="N165" s="80"/>
      <c r="O165" s="95"/>
      <c r="P165" s="45"/>
      <c r="Q165" s="96"/>
      <c r="R165" s="28"/>
      <c r="S165" s="97"/>
      <c r="T165" s="34"/>
      <c r="U165" s="96"/>
      <c r="V165" s="98"/>
      <c r="W165" s="1"/>
      <c r="X165" s="1"/>
      <c r="Y165" s="1"/>
    </row>
    <row r="166" ht="15.75" customHeight="1">
      <c r="A166" s="28"/>
      <c r="B166" s="28"/>
      <c r="C166" s="28"/>
      <c r="D166" s="28"/>
      <c r="E166" s="28"/>
      <c r="F166" s="45"/>
      <c r="G166" s="50"/>
      <c r="H166" s="28"/>
      <c r="I166" s="45"/>
      <c r="J166" s="34"/>
      <c r="K166" s="34"/>
      <c r="L166" s="28"/>
      <c r="M166" s="80"/>
      <c r="N166" s="80"/>
      <c r="O166" s="95"/>
      <c r="P166" s="45"/>
      <c r="Q166" s="96"/>
      <c r="R166" s="28"/>
      <c r="S166" s="97"/>
      <c r="T166" s="34"/>
      <c r="U166" s="96"/>
      <c r="V166" s="98"/>
      <c r="W166" s="1"/>
      <c r="X166" s="1"/>
      <c r="Y166" s="1"/>
    </row>
    <row r="167" ht="15.75" customHeight="1">
      <c r="A167" s="28"/>
      <c r="B167" s="28"/>
      <c r="C167" s="28"/>
      <c r="D167" s="28"/>
      <c r="E167" s="28"/>
      <c r="F167" s="45"/>
      <c r="G167" s="50"/>
      <c r="H167" s="28"/>
      <c r="I167" s="45"/>
      <c r="J167" s="34"/>
      <c r="K167" s="34"/>
      <c r="L167" s="28"/>
      <c r="M167" s="80"/>
      <c r="N167" s="80"/>
      <c r="O167" s="95"/>
      <c r="P167" s="45"/>
      <c r="Q167" s="96"/>
      <c r="R167" s="28"/>
      <c r="S167" s="97"/>
      <c r="T167" s="34"/>
      <c r="U167" s="96"/>
      <c r="V167" s="98"/>
      <c r="W167" s="1"/>
      <c r="X167" s="1"/>
      <c r="Y167" s="1"/>
    </row>
    <row r="168" ht="15.75" customHeight="1">
      <c r="A168" s="28"/>
      <c r="B168" s="28"/>
      <c r="C168" s="28"/>
      <c r="D168" s="28"/>
      <c r="E168" s="28"/>
      <c r="F168" s="45"/>
      <c r="G168" s="50"/>
      <c r="H168" s="28"/>
      <c r="I168" s="45"/>
      <c r="J168" s="34"/>
      <c r="K168" s="34"/>
      <c r="L168" s="28"/>
      <c r="M168" s="80"/>
      <c r="N168" s="80"/>
      <c r="O168" s="95"/>
      <c r="P168" s="45"/>
      <c r="Q168" s="96"/>
      <c r="R168" s="28"/>
      <c r="S168" s="97"/>
      <c r="T168" s="34"/>
      <c r="U168" s="96"/>
      <c r="V168" s="98"/>
      <c r="W168" s="1"/>
      <c r="X168" s="1"/>
      <c r="Y168" s="1"/>
    </row>
    <row r="169" ht="15.75" customHeight="1">
      <c r="A169" s="28"/>
      <c r="B169" s="28"/>
      <c r="C169" s="28"/>
      <c r="D169" s="28"/>
      <c r="E169" s="28"/>
      <c r="F169" s="45"/>
      <c r="G169" s="50"/>
      <c r="H169" s="28"/>
      <c r="I169" s="45"/>
      <c r="J169" s="34"/>
      <c r="K169" s="34"/>
      <c r="L169" s="28"/>
      <c r="M169" s="80"/>
      <c r="N169" s="80"/>
      <c r="O169" s="95"/>
      <c r="P169" s="45"/>
      <c r="Q169" s="96"/>
      <c r="R169" s="28"/>
      <c r="S169" s="97"/>
      <c r="T169" s="34"/>
      <c r="U169" s="96"/>
      <c r="V169" s="98"/>
      <c r="W169" s="1"/>
      <c r="X169" s="1"/>
      <c r="Y169" s="1"/>
    </row>
    <row r="170" ht="15.75" customHeight="1">
      <c r="A170" s="28"/>
      <c r="B170" s="28"/>
      <c r="C170" s="28"/>
      <c r="D170" s="28"/>
      <c r="E170" s="28"/>
      <c r="F170" s="45"/>
      <c r="G170" s="50"/>
      <c r="H170" s="28"/>
      <c r="I170" s="45"/>
      <c r="J170" s="34"/>
      <c r="K170" s="34"/>
      <c r="L170" s="28"/>
      <c r="M170" s="80"/>
      <c r="N170" s="80"/>
      <c r="O170" s="95"/>
      <c r="P170" s="45"/>
      <c r="Q170" s="96"/>
      <c r="R170" s="28"/>
      <c r="S170" s="97"/>
      <c r="T170" s="34"/>
      <c r="U170" s="96"/>
      <c r="V170" s="98"/>
      <c r="W170" s="1"/>
      <c r="X170" s="1"/>
      <c r="Y170" s="1"/>
    </row>
    <row r="171" ht="15.75" customHeight="1">
      <c r="A171" s="28"/>
      <c r="B171" s="28"/>
      <c r="C171" s="28"/>
      <c r="D171" s="28"/>
      <c r="E171" s="28"/>
      <c r="F171" s="45"/>
      <c r="G171" s="50"/>
      <c r="H171" s="28"/>
      <c r="I171" s="45"/>
      <c r="J171" s="34"/>
      <c r="K171" s="34"/>
      <c r="L171" s="28"/>
      <c r="M171" s="80"/>
      <c r="N171" s="80"/>
      <c r="O171" s="95"/>
      <c r="P171" s="45"/>
      <c r="Q171" s="96"/>
      <c r="R171" s="28"/>
      <c r="S171" s="97"/>
      <c r="T171" s="34"/>
      <c r="U171" s="96"/>
      <c r="V171" s="98"/>
      <c r="W171" s="1"/>
      <c r="X171" s="1"/>
      <c r="Y171" s="1"/>
    </row>
    <row r="172" ht="15.75" customHeight="1">
      <c r="A172" s="28"/>
      <c r="B172" s="28"/>
      <c r="C172" s="28"/>
      <c r="D172" s="28"/>
      <c r="E172" s="28"/>
      <c r="F172" s="45"/>
      <c r="G172" s="50"/>
      <c r="H172" s="28"/>
      <c r="I172" s="45"/>
      <c r="J172" s="34"/>
      <c r="K172" s="34"/>
      <c r="L172" s="28"/>
      <c r="M172" s="80"/>
      <c r="N172" s="80"/>
      <c r="O172" s="95"/>
      <c r="P172" s="45"/>
      <c r="Q172" s="96"/>
      <c r="R172" s="28"/>
      <c r="S172" s="97"/>
      <c r="T172" s="34"/>
      <c r="U172" s="96"/>
      <c r="V172" s="98"/>
      <c r="W172" s="1"/>
      <c r="X172" s="1"/>
      <c r="Y172" s="1"/>
    </row>
    <row r="173" ht="15.75" customHeight="1">
      <c r="A173" s="28"/>
      <c r="B173" s="28"/>
      <c r="C173" s="28"/>
      <c r="D173" s="28"/>
      <c r="E173" s="28"/>
      <c r="F173" s="45"/>
      <c r="G173" s="50"/>
      <c r="H173" s="28"/>
      <c r="I173" s="45"/>
      <c r="J173" s="34"/>
      <c r="K173" s="34"/>
      <c r="L173" s="28"/>
      <c r="M173" s="80"/>
      <c r="N173" s="80"/>
      <c r="O173" s="95"/>
      <c r="P173" s="45"/>
      <c r="Q173" s="96"/>
      <c r="R173" s="28"/>
      <c r="S173" s="97"/>
      <c r="T173" s="34"/>
      <c r="U173" s="96"/>
      <c r="V173" s="98"/>
      <c r="W173" s="1"/>
      <c r="X173" s="1"/>
      <c r="Y173" s="1"/>
    </row>
    <row r="174" ht="15.75" customHeight="1">
      <c r="A174" s="28"/>
      <c r="B174" s="28"/>
      <c r="C174" s="28"/>
      <c r="D174" s="28"/>
      <c r="E174" s="28"/>
      <c r="F174" s="45"/>
      <c r="G174" s="50"/>
      <c r="H174" s="28"/>
      <c r="I174" s="45"/>
      <c r="J174" s="34"/>
      <c r="K174" s="34"/>
      <c r="L174" s="28"/>
      <c r="M174" s="80"/>
      <c r="N174" s="80"/>
      <c r="O174" s="95"/>
      <c r="P174" s="45"/>
      <c r="Q174" s="96"/>
      <c r="R174" s="28"/>
      <c r="S174" s="97"/>
      <c r="T174" s="34"/>
      <c r="U174" s="96"/>
      <c r="V174" s="98"/>
      <c r="W174" s="1"/>
      <c r="X174" s="1"/>
      <c r="Y174" s="1"/>
    </row>
    <row r="175" ht="15.75" customHeight="1">
      <c r="A175" s="28"/>
      <c r="B175" s="28"/>
      <c r="C175" s="28"/>
      <c r="D175" s="28"/>
      <c r="E175" s="28"/>
      <c r="F175" s="45"/>
      <c r="G175" s="50"/>
      <c r="H175" s="28"/>
      <c r="I175" s="45"/>
      <c r="J175" s="34"/>
      <c r="K175" s="34"/>
      <c r="L175" s="28"/>
      <c r="M175" s="80"/>
      <c r="N175" s="80"/>
      <c r="O175" s="95"/>
      <c r="P175" s="45"/>
      <c r="Q175" s="96"/>
      <c r="R175" s="28"/>
      <c r="S175" s="97"/>
      <c r="T175" s="34"/>
      <c r="U175" s="96"/>
      <c r="V175" s="98"/>
      <c r="W175" s="1"/>
      <c r="X175" s="1"/>
      <c r="Y175" s="1"/>
    </row>
    <row r="176" ht="15.75" customHeight="1">
      <c r="A176" s="28"/>
      <c r="B176" s="28"/>
      <c r="C176" s="28"/>
      <c r="D176" s="28"/>
      <c r="E176" s="28"/>
      <c r="F176" s="45"/>
      <c r="G176" s="50"/>
      <c r="H176" s="28"/>
      <c r="I176" s="45"/>
      <c r="J176" s="34"/>
      <c r="K176" s="34"/>
      <c r="L176" s="28"/>
      <c r="M176" s="80"/>
      <c r="N176" s="80"/>
      <c r="O176" s="95"/>
      <c r="P176" s="45"/>
      <c r="Q176" s="96"/>
      <c r="R176" s="28"/>
      <c r="S176" s="97"/>
      <c r="T176" s="34"/>
      <c r="U176" s="96"/>
      <c r="V176" s="98"/>
      <c r="W176" s="1"/>
      <c r="X176" s="1"/>
      <c r="Y176" s="1"/>
    </row>
    <row r="177" ht="15.75" customHeight="1">
      <c r="A177" s="28"/>
      <c r="B177" s="28"/>
      <c r="C177" s="28"/>
      <c r="D177" s="28"/>
      <c r="E177" s="28"/>
      <c r="F177" s="45"/>
      <c r="G177" s="50"/>
      <c r="H177" s="28"/>
      <c r="I177" s="45"/>
      <c r="J177" s="34"/>
      <c r="K177" s="34"/>
      <c r="L177" s="28"/>
      <c r="M177" s="80"/>
      <c r="N177" s="80"/>
      <c r="O177" s="95"/>
      <c r="P177" s="45"/>
      <c r="Q177" s="96"/>
      <c r="R177" s="28"/>
      <c r="S177" s="97"/>
      <c r="T177" s="34"/>
      <c r="U177" s="96"/>
      <c r="V177" s="98"/>
      <c r="W177" s="1"/>
      <c r="X177" s="1"/>
      <c r="Y177" s="1"/>
    </row>
    <row r="178" ht="15.75" customHeight="1">
      <c r="A178" s="28"/>
      <c r="B178" s="28"/>
      <c r="C178" s="28"/>
      <c r="D178" s="28"/>
      <c r="E178" s="28"/>
      <c r="F178" s="45"/>
      <c r="G178" s="50"/>
      <c r="H178" s="28"/>
      <c r="I178" s="45"/>
      <c r="J178" s="34"/>
      <c r="K178" s="34"/>
      <c r="L178" s="28"/>
      <c r="M178" s="80"/>
      <c r="N178" s="80"/>
      <c r="O178" s="95"/>
      <c r="P178" s="45"/>
      <c r="Q178" s="96"/>
      <c r="R178" s="28"/>
      <c r="S178" s="97"/>
      <c r="T178" s="34"/>
      <c r="U178" s="96"/>
      <c r="V178" s="98"/>
      <c r="W178" s="1"/>
      <c r="X178" s="1"/>
      <c r="Y178" s="1"/>
    </row>
    <row r="179" ht="15.75" customHeight="1">
      <c r="A179" s="28"/>
      <c r="B179" s="28"/>
      <c r="C179" s="28"/>
      <c r="D179" s="28"/>
      <c r="E179" s="28"/>
      <c r="F179" s="45"/>
      <c r="G179" s="50"/>
      <c r="H179" s="28"/>
      <c r="I179" s="45"/>
      <c r="J179" s="34"/>
      <c r="K179" s="34"/>
      <c r="L179" s="28"/>
      <c r="M179" s="80"/>
      <c r="N179" s="80"/>
      <c r="O179" s="95"/>
      <c r="P179" s="45"/>
      <c r="Q179" s="96"/>
      <c r="R179" s="28"/>
      <c r="S179" s="97"/>
      <c r="T179" s="34"/>
      <c r="U179" s="96"/>
      <c r="V179" s="98"/>
      <c r="W179" s="1"/>
      <c r="X179" s="1"/>
      <c r="Y179" s="1"/>
    </row>
    <row r="180" ht="15.75" customHeight="1">
      <c r="A180" s="28"/>
      <c r="B180" s="28"/>
      <c r="C180" s="28"/>
      <c r="D180" s="28"/>
      <c r="E180" s="28"/>
      <c r="F180" s="45"/>
      <c r="G180" s="50"/>
      <c r="H180" s="28"/>
      <c r="I180" s="45"/>
      <c r="J180" s="34"/>
      <c r="K180" s="34"/>
      <c r="L180" s="28"/>
      <c r="M180" s="80"/>
      <c r="N180" s="80"/>
      <c r="O180" s="95"/>
      <c r="P180" s="45"/>
      <c r="Q180" s="96"/>
      <c r="R180" s="28"/>
      <c r="S180" s="97"/>
      <c r="T180" s="34"/>
      <c r="U180" s="96"/>
      <c r="V180" s="98"/>
      <c r="W180" s="1"/>
      <c r="X180" s="1"/>
      <c r="Y180" s="1"/>
    </row>
    <row r="181" ht="15.75" customHeight="1">
      <c r="A181" s="28"/>
      <c r="B181" s="28"/>
      <c r="C181" s="28"/>
      <c r="D181" s="28"/>
      <c r="E181" s="28"/>
      <c r="F181" s="45"/>
      <c r="G181" s="50"/>
      <c r="H181" s="28"/>
      <c r="I181" s="45"/>
      <c r="J181" s="34"/>
      <c r="K181" s="34"/>
      <c r="L181" s="28"/>
      <c r="M181" s="80"/>
      <c r="N181" s="80"/>
      <c r="O181" s="95"/>
      <c r="P181" s="45"/>
      <c r="Q181" s="96"/>
      <c r="R181" s="28"/>
      <c r="S181" s="97"/>
      <c r="T181" s="34"/>
      <c r="U181" s="96"/>
      <c r="V181" s="98"/>
      <c r="W181" s="1"/>
      <c r="X181" s="1"/>
      <c r="Y181" s="1"/>
    </row>
    <row r="182" ht="15.75" customHeight="1">
      <c r="A182" s="28"/>
      <c r="B182" s="28"/>
      <c r="C182" s="28"/>
      <c r="D182" s="28"/>
      <c r="E182" s="28"/>
      <c r="F182" s="45"/>
      <c r="G182" s="50"/>
      <c r="H182" s="28"/>
      <c r="I182" s="45"/>
      <c r="J182" s="34"/>
      <c r="K182" s="34"/>
      <c r="L182" s="28"/>
      <c r="M182" s="80"/>
      <c r="N182" s="80"/>
      <c r="O182" s="95"/>
      <c r="P182" s="45"/>
      <c r="Q182" s="96"/>
      <c r="R182" s="28"/>
      <c r="S182" s="97"/>
      <c r="T182" s="34"/>
      <c r="U182" s="96"/>
      <c r="V182" s="98"/>
      <c r="W182" s="1"/>
      <c r="X182" s="1"/>
      <c r="Y182" s="1"/>
    </row>
    <row r="183" ht="15.75" customHeight="1">
      <c r="A183" s="28"/>
      <c r="B183" s="28"/>
      <c r="C183" s="28"/>
      <c r="D183" s="28"/>
      <c r="E183" s="28"/>
      <c r="F183" s="45"/>
      <c r="G183" s="50"/>
      <c r="H183" s="28"/>
      <c r="I183" s="45"/>
      <c r="J183" s="34"/>
      <c r="K183" s="34"/>
      <c r="L183" s="28"/>
      <c r="M183" s="80"/>
      <c r="N183" s="80"/>
      <c r="O183" s="95"/>
      <c r="P183" s="45"/>
      <c r="Q183" s="96"/>
      <c r="R183" s="28"/>
      <c r="S183" s="97"/>
      <c r="T183" s="34"/>
      <c r="U183" s="96"/>
      <c r="V183" s="98"/>
      <c r="W183" s="1"/>
      <c r="X183" s="1"/>
      <c r="Y183" s="1"/>
    </row>
    <row r="184" ht="15.75" customHeight="1">
      <c r="A184" s="28"/>
      <c r="B184" s="28"/>
      <c r="C184" s="28"/>
      <c r="D184" s="28"/>
      <c r="E184" s="28"/>
      <c r="F184" s="45"/>
      <c r="G184" s="50"/>
      <c r="H184" s="28"/>
      <c r="I184" s="45"/>
      <c r="J184" s="34"/>
      <c r="K184" s="34"/>
      <c r="L184" s="28"/>
      <c r="M184" s="80"/>
      <c r="N184" s="80"/>
      <c r="O184" s="95"/>
      <c r="P184" s="45"/>
      <c r="Q184" s="96"/>
      <c r="R184" s="28"/>
      <c r="S184" s="97"/>
      <c r="T184" s="34"/>
      <c r="U184" s="96"/>
      <c r="V184" s="98"/>
      <c r="W184" s="1"/>
      <c r="X184" s="1"/>
      <c r="Y184" s="1"/>
    </row>
    <row r="185" ht="15.75" customHeight="1">
      <c r="A185" s="28"/>
      <c r="B185" s="28"/>
      <c r="C185" s="28"/>
      <c r="D185" s="28"/>
      <c r="E185" s="28"/>
      <c r="F185" s="45"/>
      <c r="G185" s="50"/>
      <c r="H185" s="28"/>
      <c r="I185" s="45"/>
      <c r="J185" s="34"/>
      <c r="K185" s="34"/>
      <c r="L185" s="28"/>
      <c r="M185" s="80"/>
      <c r="N185" s="80"/>
      <c r="O185" s="95"/>
      <c r="P185" s="45"/>
      <c r="Q185" s="96"/>
      <c r="R185" s="28"/>
      <c r="S185" s="97"/>
      <c r="T185" s="34"/>
      <c r="U185" s="96"/>
      <c r="V185" s="98"/>
      <c r="W185" s="1"/>
      <c r="X185" s="1"/>
      <c r="Y185" s="1"/>
    </row>
    <row r="186" ht="15.75" customHeight="1">
      <c r="A186" s="28"/>
      <c r="B186" s="28"/>
      <c r="C186" s="28"/>
      <c r="D186" s="28"/>
      <c r="E186" s="28"/>
      <c r="F186" s="45"/>
      <c r="G186" s="50"/>
      <c r="H186" s="28"/>
      <c r="I186" s="45"/>
      <c r="J186" s="34"/>
      <c r="K186" s="34"/>
      <c r="L186" s="28"/>
      <c r="M186" s="80"/>
      <c r="N186" s="80"/>
      <c r="O186" s="95"/>
      <c r="P186" s="45"/>
      <c r="Q186" s="96"/>
      <c r="R186" s="28"/>
      <c r="S186" s="97"/>
      <c r="T186" s="34"/>
      <c r="U186" s="96"/>
      <c r="V186" s="98"/>
      <c r="W186" s="1"/>
      <c r="X186" s="1"/>
      <c r="Y186" s="1"/>
    </row>
    <row r="187" ht="15.75" customHeight="1">
      <c r="A187" s="28"/>
      <c r="B187" s="28"/>
      <c r="C187" s="28"/>
      <c r="D187" s="28"/>
      <c r="E187" s="28"/>
      <c r="F187" s="45"/>
      <c r="G187" s="50"/>
      <c r="H187" s="28"/>
      <c r="I187" s="45"/>
      <c r="J187" s="34"/>
      <c r="K187" s="34"/>
      <c r="L187" s="28"/>
      <c r="M187" s="80"/>
      <c r="N187" s="80"/>
      <c r="O187" s="95"/>
      <c r="P187" s="45"/>
      <c r="Q187" s="96"/>
      <c r="R187" s="28"/>
      <c r="S187" s="97"/>
      <c r="T187" s="34"/>
      <c r="U187" s="96"/>
      <c r="V187" s="98"/>
      <c r="W187" s="1"/>
      <c r="X187" s="1"/>
      <c r="Y187" s="1"/>
    </row>
    <row r="188" ht="15.75" customHeight="1">
      <c r="A188" s="28"/>
      <c r="B188" s="28"/>
      <c r="C188" s="28"/>
      <c r="D188" s="28"/>
      <c r="E188" s="28"/>
      <c r="F188" s="45"/>
      <c r="G188" s="50"/>
      <c r="H188" s="28"/>
      <c r="I188" s="45"/>
      <c r="J188" s="34"/>
      <c r="K188" s="34"/>
      <c r="L188" s="28"/>
      <c r="M188" s="80"/>
      <c r="N188" s="80"/>
      <c r="O188" s="95"/>
      <c r="P188" s="45"/>
      <c r="Q188" s="104"/>
      <c r="R188" s="28"/>
      <c r="S188" s="105"/>
      <c r="T188" s="34"/>
      <c r="U188" s="104"/>
      <c r="V188" s="98"/>
      <c r="W188" s="1"/>
      <c r="X188" s="1"/>
      <c r="Y188" s="1"/>
    </row>
    <row r="189" ht="15.75" customHeight="1">
      <c r="A189" s="28"/>
      <c r="B189" s="28"/>
      <c r="C189" s="28"/>
      <c r="D189" s="28"/>
      <c r="E189" s="28"/>
      <c r="F189" s="45"/>
      <c r="G189" s="50"/>
      <c r="H189" s="28"/>
      <c r="I189" s="45"/>
      <c r="J189" s="34"/>
      <c r="K189" s="34"/>
      <c r="L189" s="28"/>
      <c r="M189" s="80"/>
      <c r="N189" s="80"/>
      <c r="O189" s="95"/>
      <c r="P189" s="45"/>
      <c r="Q189" s="104"/>
      <c r="R189" s="28"/>
      <c r="S189" s="105"/>
      <c r="T189" s="34"/>
      <c r="U189" s="104"/>
      <c r="V189" s="98"/>
      <c r="W189" s="1"/>
      <c r="X189" s="1"/>
      <c r="Y189" s="1"/>
    </row>
    <row r="190" ht="15.75" customHeight="1">
      <c r="A190" s="28"/>
      <c r="B190" s="28"/>
      <c r="C190" s="28"/>
      <c r="D190" s="28"/>
      <c r="E190" s="28"/>
      <c r="F190" s="45"/>
      <c r="G190" s="50"/>
      <c r="H190" s="28"/>
      <c r="I190" s="45"/>
      <c r="J190" s="34"/>
      <c r="K190" s="34"/>
      <c r="L190" s="28"/>
      <c r="M190" s="80"/>
      <c r="N190" s="80"/>
      <c r="O190" s="95"/>
      <c r="P190" s="45"/>
      <c r="Q190" s="104"/>
      <c r="R190" s="28"/>
      <c r="S190" s="105"/>
      <c r="T190" s="34"/>
      <c r="U190" s="104"/>
      <c r="V190" s="98"/>
      <c r="W190" s="1"/>
      <c r="X190" s="1"/>
      <c r="Y190" s="1"/>
    </row>
    <row r="191" ht="15.75" customHeight="1">
      <c r="A191" s="28"/>
      <c r="B191" s="28"/>
      <c r="C191" s="28"/>
      <c r="D191" s="28"/>
      <c r="E191" s="28"/>
      <c r="F191" s="45"/>
      <c r="G191" s="50"/>
      <c r="H191" s="28"/>
      <c r="I191" s="45"/>
      <c r="J191" s="34"/>
      <c r="K191" s="34"/>
      <c r="L191" s="28"/>
      <c r="M191" s="80"/>
      <c r="N191" s="80"/>
      <c r="O191" s="95"/>
      <c r="P191" s="45"/>
      <c r="Q191" s="104"/>
      <c r="R191" s="28"/>
      <c r="S191" s="105"/>
      <c r="T191" s="34"/>
      <c r="U191" s="104"/>
      <c r="V191" s="98"/>
      <c r="W191" s="1"/>
      <c r="X191" s="1"/>
      <c r="Y191" s="1"/>
    </row>
    <row r="192" ht="15.75" customHeight="1">
      <c r="A192" s="28"/>
      <c r="B192" s="28"/>
      <c r="C192" s="28"/>
      <c r="D192" s="28"/>
      <c r="E192" s="28"/>
      <c r="F192" s="45"/>
      <c r="G192" s="50"/>
      <c r="H192" s="28"/>
      <c r="I192" s="45"/>
      <c r="J192" s="34"/>
      <c r="K192" s="34"/>
      <c r="L192" s="28"/>
      <c r="M192" s="80"/>
      <c r="N192" s="80"/>
      <c r="O192" s="95"/>
      <c r="P192" s="45"/>
      <c r="Q192" s="104"/>
      <c r="R192" s="28"/>
      <c r="S192" s="105"/>
      <c r="T192" s="34"/>
      <c r="U192" s="104"/>
      <c r="V192" s="98"/>
      <c r="W192" s="1"/>
      <c r="X192" s="1"/>
      <c r="Y192" s="1"/>
    </row>
    <row r="193" ht="15.75" customHeight="1">
      <c r="A193" s="28"/>
      <c r="B193" s="28"/>
      <c r="C193" s="28"/>
      <c r="D193" s="28"/>
      <c r="E193" s="28"/>
      <c r="F193" s="45"/>
      <c r="G193" s="50"/>
      <c r="H193" s="28"/>
      <c r="I193" s="45"/>
      <c r="J193" s="34"/>
      <c r="K193" s="34"/>
      <c r="L193" s="28"/>
      <c r="M193" s="80"/>
      <c r="N193" s="80"/>
      <c r="O193" s="95"/>
      <c r="P193" s="45"/>
      <c r="Q193" s="104"/>
      <c r="R193" s="28"/>
      <c r="S193" s="105"/>
      <c r="T193" s="34"/>
      <c r="U193" s="104"/>
      <c r="V193" s="98"/>
      <c r="W193" s="1"/>
      <c r="X193" s="1"/>
      <c r="Y193" s="1"/>
    </row>
    <row r="194" ht="15.75" customHeight="1">
      <c r="A194" s="28"/>
      <c r="B194" s="28"/>
      <c r="C194" s="28"/>
      <c r="D194" s="28"/>
      <c r="E194" s="28"/>
      <c r="F194" s="45"/>
      <c r="G194" s="50"/>
      <c r="H194" s="28"/>
      <c r="I194" s="45"/>
      <c r="J194" s="34"/>
      <c r="K194" s="34"/>
      <c r="L194" s="28"/>
      <c r="M194" s="80"/>
      <c r="N194" s="80"/>
      <c r="O194" s="95"/>
      <c r="P194" s="45"/>
      <c r="Q194" s="104"/>
      <c r="R194" s="28"/>
      <c r="S194" s="105"/>
      <c r="T194" s="34"/>
      <c r="U194" s="104"/>
      <c r="V194" s="98"/>
      <c r="W194" s="1"/>
      <c r="X194" s="1"/>
      <c r="Y194" s="1"/>
    </row>
    <row r="195" ht="15.75" customHeight="1">
      <c r="A195" s="28"/>
      <c r="B195" s="28"/>
      <c r="C195" s="28"/>
      <c r="D195" s="28"/>
      <c r="E195" s="28"/>
      <c r="F195" s="45"/>
      <c r="G195" s="50"/>
      <c r="H195" s="28"/>
      <c r="I195" s="45"/>
      <c r="J195" s="34"/>
      <c r="K195" s="34"/>
      <c r="L195" s="28"/>
      <c r="M195" s="80"/>
      <c r="N195" s="80"/>
      <c r="O195" s="95"/>
      <c r="P195" s="45"/>
      <c r="Q195" s="104"/>
      <c r="R195" s="28"/>
      <c r="S195" s="105"/>
      <c r="T195" s="34"/>
      <c r="U195" s="104"/>
      <c r="V195" s="98"/>
      <c r="W195" s="1"/>
      <c r="X195" s="1"/>
      <c r="Y195" s="1"/>
    </row>
    <row r="196" ht="15.75" customHeight="1">
      <c r="A196" s="28"/>
      <c r="B196" s="28"/>
      <c r="C196" s="28"/>
      <c r="D196" s="28"/>
      <c r="E196" s="28"/>
      <c r="F196" s="45"/>
      <c r="G196" s="50"/>
      <c r="H196" s="28"/>
      <c r="I196" s="45"/>
      <c r="J196" s="34"/>
      <c r="K196" s="34"/>
      <c r="L196" s="28"/>
      <c r="M196" s="80"/>
      <c r="N196" s="80"/>
      <c r="O196" s="95"/>
      <c r="P196" s="45"/>
      <c r="Q196" s="104"/>
      <c r="R196" s="28"/>
      <c r="S196" s="105"/>
      <c r="T196" s="34"/>
      <c r="U196" s="104"/>
      <c r="V196" s="98"/>
      <c r="W196" s="1"/>
      <c r="X196" s="1"/>
      <c r="Y196" s="1"/>
    </row>
    <row r="197" ht="15.75" customHeight="1">
      <c r="A197" s="28"/>
      <c r="B197" s="28"/>
      <c r="C197" s="28"/>
      <c r="D197" s="28"/>
      <c r="E197" s="28"/>
      <c r="F197" s="45"/>
      <c r="G197" s="50"/>
      <c r="H197" s="28"/>
      <c r="I197" s="45"/>
      <c r="J197" s="34"/>
      <c r="K197" s="34"/>
      <c r="L197" s="28"/>
      <c r="M197" s="80"/>
      <c r="N197" s="80"/>
      <c r="O197" s="95"/>
      <c r="P197" s="45"/>
      <c r="Q197" s="104"/>
      <c r="R197" s="28"/>
      <c r="S197" s="105"/>
      <c r="T197" s="34"/>
      <c r="U197" s="104"/>
      <c r="V197" s="98"/>
      <c r="W197" s="1"/>
      <c r="X197" s="1"/>
      <c r="Y197" s="1"/>
    </row>
    <row r="198" ht="15.75" customHeight="1">
      <c r="A198" s="28"/>
      <c r="B198" s="28"/>
      <c r="C198" s="28"/>
      <c r="D198" s="28"/>
      <c r="E198" s="28"/>
      <c r="F198" s="45"/>
      <c r="G198" s="50"/>
      <c r="H198" s="28"/>
      <c r="I198" s="45"/>
      <c r="J198" s="34"/>
      <c r="K198" s="34"/>
      <c r="L198" s="28"/>
      <c r="M198" s="80"/>
      <c r="N198" s="80"/>
      <c r="O198" s="95"/>
      <c r="P198" s="45"/>
      <c r="Q198" s="104"/>
      <c r="R198" s="28"/>
      <c r="S198" s="105"/>
      <c r="T198" s="34"/>
      <c r="U198" s="104"/>
      <c r="V198" s="98"/>
      <c r="W198" s="1"/>
      <c r="X198" s="1"/>
      <c r="Y198" s="1"/>
    </row>
    <row r="199" ht="15.75" customHeight="1">
      <c r="A199" s="28"/>
      <c r="B199" s="28"/>
      <c r="C199" s="28"/>
      <c r="D199" s="28"/>
      <c r="E199" s="28"/>
      <c r="F199" s="45"/>
      <c r="G199" s="50"/>
      <c r="H199" s="28"/>
      <c r="I199" s="45"/>
      <c r="J199" s="34"/>
      <c r="K199" s="34"/>
      <c r="L199" s="28"/>
      <c r="M199" s="80"/>
      <c r="N199" s="80"/>
      <c r="O199" s="95"/>
      <c r="P199" s="45"/>
      <c r="Q199" s="104"/>
      <c r="R199" s="28"/>
      <c r="S199" s="105"/>
      <c r="T199" s="34"/>
      <c r="U199" s="104"/>
      <c r="V199" s="98"/>
      <c r="W199" s="1"/>
      <c r="X199" s="1"/>
      <c r="Y199" s="1"/>
    </row>
    <row r="200" ht="15.75" customHeight="1">
      <c r="A200" s="28"/>
      <c r="B200" s="28"/>
      <c r="C200" s="28"/>
      <c r="D200" s="28"/>
      <c r="E200" s="28"/>
      <c r="F200" s="45"/>
      <c r="G200" s="50"/>
      <c r="H200" s="28"/>
      <c r="I200" s="45"/>
      <c r="J200" s="34"/>
      <c r="K200" s="34"/>
      <c r="L200" s="28"/>
      <c r="M200" s="80"/>
      <c r="N200" s="80"/>
      <c r="O200" s="95"/>
      <c r="P200" s="45"/>
      <c r="Q200" s="104"/>
      <c r="R200" s="28"/>
      <c r="S200" s="105"/>
      <c r="T200" s="34"/>
      <c r="U200" s="104"/>
      <c r="V200" s="98"/>
      <c r="W200" s="1"/>
      <c r="X200" s="1"/>
      <c r="Y200" s="1"/>
    </row>
    <row r="201" ht="15.75" customHeight="1">
      <c r="A201" s="28"/>
      <c r="B201" s="28"/>
      <c r="C201" s="28"/>
      <c r="D201" s="28"/>
      <c r="E201" s="28"/>
      <c r="F201" s="45"/>
      <c r="G201" s="50"/>
      <c r="H201" s="28"/>
      <c r="I201" s="45"/>
      <c r="J201" s="34"/>
      <c r="K201" s="34"/>
      <c r="L201" s="28"/>
      <c r="M201" s="80"/>
      <c r="N201" s="80"/>
      <c r="O201" s="95"/>
      <c r="P201" s="45"/>
      <c r="Q201" s="104"/>
      <c r="R201" s="28"/>
      <c r="S201" s="105"/>
      <c r="T201" s="34"/>
      <c r="U201" s="104"/>
      <c r="V201" s="98"/>
      <c r="W201" s="1"/>
      <c r="X201" s="1"/>
      <c r="Y201" s="1"/>
    </row>
    <row r="202" ht="15.75" customHeight="1">
      <c r="A202" s="28"/>
      <c r="B202" s="28"/>
      <c r="C202" s="28"/>
      <c r="D202" s="28"/>
      <c r="E202" s="28"/>
      <c r="F202" s="45"/>
      <c r="G202" s="50"/>
      <c r="H202" s="28"/>
      <c r="I202" s="45"/>
      <c r="J202" s="34"/>
      <c r="K202" s="34"/>
      <c r="L202" s="28"/>
      <c r="M202" s="80"/>
      <c r="N202" s="80"/>
      <c r="O202" s="95"/>
      <c r="P202" s="45"/>
      <c r="Q202" s="104"/>
      <c r="R202" s="28"/>
      <c r="S202" s="105"/>
      <c r="T202" s="34"/>
      <c r="U202" s="104"/>
      <c r="V202" s="98"/>
      <c r="W202" s="1"/>
      <c r="X202" s="1"/>
      <c r="Y202" s="1"/>
    </row>
    <row r="203" ht="15.75" customHeight="1">
      <c r="A203" s="28"/>
      <c r="B203" s="28"/>
      <c r="C203" s="28"/>
      <c r="D203" s="28"/>
      <c r="E203" s="28"/>
      <c r="F203" s="45"/>
      <c r="G203" s="50"/>
      <c r="H203" s="28"/>
      <c r="I203" s="45"/>
      <c r="J203" s="34"/>
      <c r="K203" s="34"/>
      <c r="L203" s="28"/>
      <c r="M203" s="80"/>
      <c r="N203" s="80"/>
      <c r="O203" s="95"/>
      <c r="P203" s="45"/>
      <c r="Q203" s="104"/>
      <c r="R203" s="28"/>
      <c r="S203" s="105"/>
      <c r="T203" s="34"/>
      <c r="U203" s="104"/>
      <c r="V203" s="98"/>
      <c r="W203" s="1"/>
      <c r="X203" s="1"/>
      <c r="Y203" s="1"/>
    </row>
    <row r="204" ht="15.75" customHeight="1">
      <c r="A204" s="28"/>
      <c r="B204" s="28"/>
      <c r="C204" s="28"/>
      <c r="D204" s="28"/>
      <c r="E204" s="28"/>
      <c r="F204" s="45"/>
      <c r="G204" s="50"/>
      <c r="H204" s="28"/>
      <c r="I204" s="45"/>
      <c r="J204" s="34"/>
      <c r="K204" s="34"/>
      <c r="L204" s="28"/>
      <c r="M204" s="80"/>
      <c r="N204" s="80"/>
      <c r="O204" s="95"/>
      <c r="P204" s="45"/>
      <c r="Q204" s="104"/>
      <c r="R204" s="28"/>
      <c r="S204" s="105"/>
      <c r="T204" s="34"/>
      <c r="U204" s="104"/>
      <c r="V204" s="98"/>
      <c r="W204" s="1"/>
      <c r="X204" s="1"/>
      <c r="Y204" s="1"/>
    </row>
    <row r="205" ht="15.75" customHeight="1">
      <c r="A205" s="28"/>
      <c r="B205" s="28"/>
      <c r="C205" s="28"/>
      <c r="D205" s="28"/>
      <c r="E205" s="28"/>
      <c r="F205" s="45"/>
      <c r="G205" s="50"/>
      <c r="H205" s="28"/>
      <c r="I205" s="45"/>
      <c r="J205" s="34"/>
      <c r="K205" s="34"/>
      <c r="L205" s="28"/>
      <c r="M205" s="80"/>
      <c r="N205" s="80"/>
      <c r="O205" s="95"/>
      <c r="P205" s="45"/>
      <c r="Q205" s="104"/>
      <c r="R205" s="28"/>
      <c r="S205" s="105"/>
      <c r="T205" s="34"/>
      <c r="U205" s="104"/>
      <c r="V205" s="98"/>
      <c r="W205" s="1"/>
      <c r="X205" s="1"/>
      <c r="Y205" s="1"/>
    </row>
    <row r="206" ht="15.75" customHeight="1">
      <c r="A206" s="28"/>
      <c r="B206" s="28"/>
      <c r="C206" s="28"/>
      <c r="D206" s="28"/>
      <c r="E206" s="28"/>
      <c r="F206" s="45"/>
      <c r="G206" s="50"/>
      <c r="H206" s="28"/>
      <c r="I206" s="45"/>
      <c r="J206" s="34"/>
      <c r="K206" s="34"/>
      <c r="L206" s="28"/>
      <c r="M206" s="80"/>
      <c r="N206" s="80"/>
      <c r="O206" s="95"/>
      <c r="P206" s="45"/>
      <c r="Q206" s="104"/>
      <c r="R206" s="28"/>
      <c r="S206" s="105"/>
      <c r="T206" s="34"/>
      <c r="U206" s="104"/>
      <c r="V206" s="98"/>
      <c r="W206" s="1"/>
      <c r="X206" s="1"/>
      <c r="Y206" s="1"/>
    </row>
    <row r="207" ht="15.75" customHeight="1">
      <c r="A207" s="28"/>
      <c r="B207" s="28"/>
      <c r="C207" s="28"/>
      <c r="D207" s="28"/>
      <c r="E207" s="28"/>
      <c r="F207" s="45"/>
      <c r="G207" s="50"/>
      <c r="H207" s="28"/>
      <c r="I207" s="45"/>
      <c r="J207" s="34"/>
      <c r="K207" s="34"/>
      <c r="L207" s="28"/>
      <c r="M207" s="80"/>
      <c r="N207" s="80"/>
      <c r="O207" s="95"/>
      <c r="P207" s="45"/>
      <c r="Q207" s="104"/>
      <c r="R207" s="28"/>
      <c r="S207" s="105"/>
      <c r="T207" s="34"/>
      <c r="U207" s="104"/>
      <c r="V207" s="98"/>
      <c r="W207" s="1"/>
      <c r="X207" s="1"/>
      <c r="Y207" s="1"/>
    </row>
    <row r="208" ht="15.75" customHeight="1">
      <c r="A208" s="28"/>
      <c r="B208" s="28"/>
      <c r="C208" s="28"/>
      <c r="D208" s="28"/>
      <c r="E208" s="28"/>
      <c r="F208" s="45"/>
      <c r="G208" s="50"/>
      <c r="H208" s="28"/>
      <c r="I208" s="45"/>
      <c r="J208" s="34"/>
      <c r="K208" s="34"/>
      <c r="L208" s="28"/>
      <c r="M208" s="80"/>
      <c r="N208" s="80"/>
      <c r="O208" s="95"/>
      <c r="P208" s="45"/>
      <c r="Q208" s="104"/>
      <c r="R208" s="28"/>
      <c r="S208" s="105"/>
      <c r="T208" s="34"/>
      <c r="U208" s="104"/>
      <c r="V208" s="98"/>
      <c r="W208" s="1"/>
      <c r="X208" s="1"/>
      <c r="Y208" s="1"/>
    </row>
    <row r="209" ht="15.75" customHeight="1">
      <c r="A209" s="28"/>
      <c r="B209" s="28"/>
      <c r="C209" s="28"/>
      <c r="D209" s="28"/>
      <c r="E209" s="28"/>
      <c r="F209" s="45"/>
      <c r="G209" s="50"/>
      <c r="H209" s="28"/>
      <c r="I209" s="45"/>
      <c r="J209" s="34"/>
      <c r="K209" s="34"/>
      <c r="L209" s="28"/>
      <c r="M209" s="80"/>
      <c r="N209" s="80"/>
      <c r="O209" s="95"/>
      <c r="P209" s="45"/>
      <c r="Q209" s="104"/>
      <c r="R209" s="28"/>
      <c r="S209" s="105"/>
      <c r="T209" s="34"/>
      <c r="U209" s="104"/>
      <c r="V209" s="98"/>
      <c r="W209" s="1"/>
      <c r="X209" s="1"/>
      <c r="Y209" s="1"/>
    </row>
    <row r="210" ht="15.75" customHeight="1">
      <c r="A210" s="28"/>
      <c r="B210" s="28"/>
      <c r="C210" s="28"/>
      <c r="D210" s="28"/>
      <c r="E210" s="28"/>
      <c r="F210" s="45"/>
      <c r="G210" s="50"/>
      <c r="H210" s="28"/>
      <c r="I210" s="45"/>
      <c r="J210" s="34"/>
      <c r="K210" s="34"/>
      <c r="L210" s="28"/>
      <c r="M210" s="80"/>
      <c r="N210" s="80"/>
      <c r="O210" s="95"/>
      <c r="P210" s="45"/>
      <c r="Q210" s="104"/>
      <c r="R210" s="28"/>
      <c r="S210" s="105"/>
      <c r="T210" s="34"/>
      <c r="U210" s="104"/>
      <c r="V210" s="98"/>
      <c r="W210" s="1"/>
      <c r="X210" s="1"/>
      <c r="Y210" s="1"/>
    </row>
    <row r="211" ht="15.75" customHeight="1">
      <c r="A211" s="28"/>
      <c r="B211" s="28"/>
      <c r="C211" s="28"/>
      <c r="D211" s="28"/>
      <c r="E211" s="28"/>
      <c r="F211" s="45"/>
      <c r="G211" s="50"/>
      <c r="H211" s="28"/>
      <c r="I211" s="45"/>
      <c r="J211" s="34"/>
      <c r="K211" s="34"/>
      <c r="L211" s="28"/>
      <c r="M211" s="80"/>
      <c r="N211" s="80"/>
      <c r="O211" s="95"/>
      <c r="P211" s="45"/>
      <c r="Q211" s="104"/>
      <c r="R211" s="28"/>
      <c r="S211" s="105"/>
      <c r="T211" s="34"/>
      <c r="U211" s="104"/>
      <c r="V211" s="98"/>
      <c r="W211" s="1"/>
      <c r="X211" s="1"/>
      <c r="Y211" s="1"/>
    </row>
    <row r="212" ht="15.75" customHeight="1">
      <c r="A212" s="28"/>
      <c r="B212" s="28"/>
      <c r="C212" s="28"/>
      <c r="D212" s="28"/>
      <c r="E212" s="28"/>
      <c r="F212" s="45"/>
      <c r="G212" s="50"/>
      <c r="H212" s="28"/>
      <c r="I212" s="45"/>
      <c r="J212" s="34"/>
      <c r="K212" s="34"/>
      <c r="L212" s="28"/>
      <c r="M212" s="80"/>
      <c r="N212" s="80"/>
      <c r="O212" s="95"/>
      <c r="P212" s="45"/>
      <c r="Q212" s="104"/>
      <c r="R212" s="28"/>
      <c r="S212" s="105"/>
      <c r="T212" s="34"/>
      <c r="U212" s="104"/>
      <c r="V212" s="98"/>
      <c r="W212" s="1"/>
      <c r="X212" s="1"/>
      <c r="Y212" s="1"/>
    </row>
    <row r="213" ht="15.75" customHeight="1">
      <c r="A213" s="28"/>
      <c r="B213" s="28"/>
      <c r="C213" s="28"/>
      <c r="D213" s="28"/>
      <c r="E213" s="28"/>
      <c r="F213" s="45"/>
      <c r="G213" s="50"/>
      <c r="H213" s="28"/>
      <c r="I213" s="45"/>
      <c r="J213" s="34"/>
      <c r="K213" s="34"/>
      <c r="L213" s="28"/>
      <c r="M213" s="80"/>
      <c r="N213" s="80"/>
      <c r="O213" s="95"/>
      <c r="P213" s="45"/>
      <c r="Q213" s="104"/>
      <c r="R213" s="28"/>
      <c r="S213" s="105"/>
      <c r="T213" s="34"/>
      <c r="U213" s="104"/>
      <c r="V213" s="98"/>
      <c r="W213" s="1"/>
      <c r="X213" s="1"/>
      <c r="Y213" s="1"/>
    </row>
    <row r="214" ht="15.75" customHeight="1">
      <c r="A214" s="28"/>
      <c r="B214" s="28"/>
      <c r="C214" s="28"/>
      <c r="D214" s="28"/>
      <c r="E214" s="28"/>
      <c r="F214" s="45"/>
      <c r="G214" s="50"/>
      <c r="H214" s="28"/>
      <c r="I214" s="45"/>
      <c r="J214" s="34"/>
      <c r="K214" s="34"/>
      <c r="L214" s="28"/>
      <c r="M214" s="80"/>
      <c r="N214" s="80"/>
      <c r="O214" s="95"/>
      <c r="P214" s="45"/>
      <c r="Q214" s="104"/>
      <c r="R214" s="28"/>
      <c r="S214" s="105"/>
      <c r="T214" s="34"/>
      <c r="U214" s="104"/>
      <c r="V214" s="98"/>
      <c r="W214" s="1"/>
      <c r="X214" s="1"/>
      <c r="Y214" s="1"/>
    </row>
    <row r="215" ht="15.75" customHeight="1">
      <c r="A215" s="28"/>
      <c r="B215" s="28"/>
      <c r="C215" s="28"/>
      <c r="D215" s="28"/>
      <c r="E215" s="28"/>
      <c r="F215" s="45"/>
      <c r="G215" s="50"/>
      <c r="H215" s="28"/>
      <c r="I215" s="45"/>
      <c r="J215" s="34"/>
      <c r="K215" s="34"/>
      <c r="L215" s="28"/>
      <c r="M215" s="80"/>
      <c r="N215" s="80"/>
      <c r="O215" s="95"/>
      <c r="P215" s="45"/>
      <c r="Q215" s="104"/>
      <c r="R215" s="28"/>
      <c r="S215" s="105"/>
      <c r="T215" s="34"/>
      <c r="U215" s="104"/>
      <c r="V215" s="98"/>
      <c r="W215" s="1"/>
      <c r="X215" s="1"/>
      <c r="Y215" s="1"/>
    </row>
    <row r="216" ht="15.75" customHeight="1">
      <c r="A216" s="28"/>
      <c r="B216" s="28"/>
      <c r="C216" s="28"/>
      <c r="D216" s="28"/>
      <c r="E216" s="28"/>
      <c r="F216" s="45"/>
      <c r="G216" s="50"/>
      <c r="H216" s="28"/>
      <c r="I216" s="45"/>
      <c r="J216" s="34"/>
      <c r="K216" s="34"/>
      <c r="L216" s="28"/>
      <c r="M216" s="80"/>
      <c r="N216" s="80"/>
      <c r="O216" s="95"/>
      <c r="P216" s="45"/>
      <c r="Q216" s="104"/>
      <c r="R216" s="28"/>
      <c r="S216" s="105"/>
      <c r="T216" s="34"/>
      <c r="U216" s="104"/>
      <c r="V216" s="98"/>
      <c r="W216" s="1"/>
      <c r="X216" s="1"/>
      <c r="Y216" s="1"/>
    </row>
    <row r="217" ht="15.75" customHeight="1">
      <c r="A217" s="28"/>
      <c r="B217" s="28"/>
      <c r="C217" s="28"/>
      <c r="D217" s="28"/>
      <c r="E217" s="28"/>
      <c r="F217" s="45"/>
      <c r="G217" s="50"/>
      <c r="H217" s="28"/>
      <c r="I217" s="45"/>
      <c r="J217" s="34"/>
      <c r="K217" s="34"/>
      <c r="L217" s="28"/>
      <c r="M217" s="80"/>
      <c r="N217" s="80"/>
      <c r="O217" s="95"/>
      <c r="P217" s="45"/>
      <c r="Q217" s="104"/>
      <c r="R217" s="28"/>
      <c r="S217" s="105"/>
      <c r="T217" s="34"/>
      <c r="U217" s="104"/>
      <c r="V217" s="98"/>
      <c r="W217" s="1"/>
      <c r="X217" s="1"/>
      <c r="Y217" s="1"/>
    </row>
    <row r="218" ht="15.75" customHeight="1">
      <c r="A218" s="28"/>
      <c r="B218" s="28"/>
      <c r="C218" s="28"/>
      <c r="D218" s="28"/>
      <c r="E218" s="28"/>
      <c r="F218" s="45"/>
      <c r="G218" s="50"/>
      <c r="H218" s="28"/>
      <c r="I218" s="45"/>
      <c r="J218" s="34"/>
      <c r="K218" s="34"/>
      <c r="L218" s="28"/>
      <c r="M218" s="80"/>
      <c r="N218" s="80"/>
      <c r="O218" s="95"/>
      <c r="P218" s="45"/>
      <c r="Q218" s="104"/>
      <c r="R218" s="28"/>
      <c r="S218" s="105"/>
      <c r="T218" s="34"/>
      <c r="U218" s="104"/>
      <c r="V218" s="98"/>
      <c r="W218" s="1"/>
      <c r="X218" s="1"/>
      <c r="Y218" s="1"/>
    </row>
    <row r="219" ht="15.75" customHeight="1">
      <c r="A219" s="28"/>
      <c r="B219" s="28"/>
      <c r="C219" s="28"/>
      <c r="D219" s="28"/>
      <c r="E219" s="28"/>
      <c r="F219" s="45"/>
      <c r="G219" s="50"/>
      <c r="H219" s="28"/>
      <c r="I219" s="45"/>
      <c r="J219" s="34"/>
      <c r="K219" s="34"/>
      <c r="L219" s="28"/>
      <c r="M219" s="80"/>
      <c r="N219" s="80"/>
      <c r="O219" s="95"/>
      <c r="P219" s="45"/>
      <c r="Q219" s="104"/>
      <c r="R219" s="28"/>
      <c r="S219" s="105"/>
      <c r="T219" s="34"/>
      <c r="U219" s="104"/>
      <c r="V219" s="98"/>
      <c r="W219" s="1"/>
      <c r="X219" s="1"/>
      <c r="Y219" s="1"/>
    </row>
    <row r="220" ht="15.75" customHeight="1">
      <c r="A220" s="28"/>
      <c r="B220" s="28"/>
      <c r="C220" s="28"/>
      <c r="D220" s="28"/>
      <c r="E220" s="28"/>
      <c r="F220" s="45"/>
      <c r="G220" s="50"/>
      <c r="H220" s="28"/>
      <c r="I220" s="45"/>
      <c r="J220" s="34"/>
      <c r="K220" s="34"/>
      <c r="L220" s="28"/>
      <c r="M220" s="80"/>
      <c r="N220" s="80"/>
      <c r="O220" s="95"/>
      <c r="P220" s="45"/>
      <c r="Q220" s="104"/>
      <c r="R220" s="28"/>
      <c r="S220" s="105"/>
      <c r="T220" s="34"/>
      <c r="U220" s="104"/>
      <c r="V220" s="98"/>
      <c r="W220" s="1"/>
      <c r="X220" s="1"/>
      <c r="Y220" s="1"/>
    </row>
    <row r="221" ht="15.75" customHeight="1">
      <c r="A221" s="28"/>
      <c r="B221" s="28"/>
      <c r="C221" s="28"/>
      <c r="D221" s="28"/>
      <c r="E221" s="28"/>
      <c r="F221" s="45"/>
      <c r="G221" s="50"/>
      <c r="H221" s="28"/>
      <c r="I221" s="45"/>
      <c r="J221" s="34"/>
      <c r="K221" s="34"/>
      <c r="L221" s="28"/>
      <c r="M221" s="80"/>
      <c r="N221" s="80"/>
      <c r="O221" s="95"/>
      <c r="P221" s="45"/>
      <c r="Q221" s="104"/>
      <c r="R221" s="28"/>
      <c r="S221" s="105"/>
      <c r="T221" s="34"/>
      <c r="U221" s="104"/>
      <c r="V221" s="98"/>
      <c r="W221" s="1"/>
      <c r="X221" s="1"/>
      <c r="Y221" s="1"/>
    </row>
    <row r="222" ht="15.75" customHeight="1">
      <c r="A222" s="28"/>
      <c r="B222" s="28"/>
      <c r="C222" s="28"/>
      <c r="D222" s="28"/>
      <c r="E222" s="28"/>
      <c r="F222" s="45"/>
      <c r="G222" s="50"/>
      <c r="H222" s="28"/>
      <c r="I222" s="45"/>
      <c r="J222" s="34"/>
      <c r="K222" s="34"/>
      <c r="L222" s="28"/>
      <c r="M222" s="80"/>
      <c r="N222" s="80"/>
      <c r="O222" s="95"/>
      <c r="P222" s="45"/>
      <c r="Q222" s="104"/>
      <c r="R222" s="28"/>
      <c r="S222" s="105"/>
      <c r="T222" s="34"/>
      <c r="U222" s="104"/>
      <c r="V222" s="98"/>
      <c r="W222" s="1"/>
      <c r="X222" s="1"/>
      <c r="Y222" s="1"/>
    </row>
    <row r="223" ht="15.75" customHeight="1">
      <c r="A223" s="28"/>
      <c r="B223" s="28"/>
      <c r="C223" s="28"/>
      <c r="D223" s="28"/>
      <c r="E223" s="28"/>
      <c r="F223" s="45"/>
      <c r="G223" s="50"/>
      <c r="H223" s="28"/>
      <c r="I223" s="45"/>
      <c r="J223" s="34"/>
      <c r="K223" s="34"/>
      <c r="L223" s="28"/>
      <c r="M223" s="80"/>
      <c r="N223" s="80"/>
      <c r="O223" s="95"/>
      <c r="P223" s="45"/>
      <c r="Q223" s="104"/>
      <c r="R223" s="28"/>
      <c r="S223" s="105"/>
      <c r="T223" s="34"/>
      <c r="U223" s="104"/>
      <c r="V223" s="98"/>
      <c r="W223" s="1"/>
      <c r="X223" s="1"/>
      <c r="Y223" s="1"/>
    </row>
    <row r="224" ht="15.75" customHeight="1">
      <c r="A224" s="28"/>
      <c r="B224" s="28"/>
      <c r="C224" s="28"/>
      <c r="D224" s="28"/>
      <c r="E224" s="28"/>
      <c r="F224" s="45"/>
      <c r="G224" s="50"/>
      <c r="H224" s="28"/>
      <c r="I224" s="45"/>
      <c r="J224" s="34"/>
      <c r="K224" s="34"/>
      <c r="L224" s="28"/>
      <c r="M224" s="80"/>
      <c r="N224" s="80"/>
      <c r="O224" s="95"/>
      <c r="P224" s="45"/>
      <c r="Q224" s="104"/>
      <c r="R224" s="28"/>
      <c r="S224" s="105"/>
      <c r="T224" s="34"/>
      <c r="U224" s="104"/>
      <c r="V224" s="98"/>
      <c r="W224" s="1"/>
      <c r="X224" s="1"/>
      <c r="Y224" s="1"/>
    </row>
    <row r="225" ht="15.75" customHeight="1">
      <c r="A225" s="28"/>
      <c r="B225" s="28"/>
      <c r="C225" s="28"/>
      <c r="D225" s="28"/>
      <c r="E225" s="28"/>
      <c r="F225" s="45"/>
      <c r="G225" s="50"/>
      <c r="H225" s="28"/>
      <c r="I225" s="45"/>
      <c r="J225" s="34"/>
      <c r="K225" s="34"/>
      <c r="L225" s="28"/>
      <c r="M225" s="80"/>
      <c r="N225" s="80"/>
      <c r="O225" s="95"/>
      <c r="P225" s="45"/>
      <c r="Q225" s="104"/>
      <c r="R225" s="28"/>
      <c r="S225" s="105"/>
      <c r="T225" s="34"/>
      <c r="U225" s="104"/>
      <c r="V225" s="98"/>
      <c r="W225" s="1"/>
      <c r="X225" s="1"/>
      <c r="Y225" s="1"/>
    </row>
    <row r="226" ht="15.75" customHeight="1">
      <c r="A226" s="28"/>
      <c r="B226" s="28"/>
      <c r="C226" s="28"/>
      <c r="D226" s="28"/>
      <c r="E226" s="28"/>
      <c r="F226" s="45"/>
      <c r="G226" s="50"/>
      <c r="H226" s="28"/>
      <c r="I226" s="45"/>
      <c r="J226" s="34"/>
      <c r="K226" s="34"/>
      <c r="L226" s="28"/>
      <c r="M226" s="80"/>
      <c r="N226" s="80"/>
      <c r="O226" s="95"/>
      <c r="P226" s="45"/>
      <c r="Q226" s="104"/>
      <c r="R226" s="28"/>
      <c r="S226" s="105"/>
      <c r="T226" s="34"/>
      <c r="U226" s="104"/>
      <c r="V226" s="98"/>
      <c r="W226" s="1"/>
      <c r="X226" s="1"/>
      <c r="Y226" s="1"/>
    </row>
    <row r="227" ht="15.75" customHeight="1">
      <c r="A227" s="28"/>
      <c r="B227" s="28"/>
      <c r="C227" s="28"/>
      <c r="D227" s="28"/>
      <c r="E227" s="28"/>
      <c r="F227" s="45"/>
      <c r="G227" s="50"/>
      <c r="H227" s="28"/>
      <c r="I227" s="45"/>
      <c r="J227" s="34"/>
      <c r="K227" s="34"/>
      <c r="L227" s="28"/>
      <c r="M227" s="80"/>
      <c r="N227" s="80"/>
      <c r="O227" s="95"/>
      <c r="P227" s="45"/>
      <c r="Q227" s="104"/>
      <c r="R227" s="28"/>
      <c r="S227" s="105"/>
      <c r="T227" s="34"/>
      <c r="U227" s="104"/>
      <c r="V227" s="98"/>
      <c r="W227" s="1"/>
      <c r="X227" s="1"/>
      <c r="Y227" s="1"/>
    </row>
    <row r="228" ht="15.75" customHeight="1">
      <c r="A228" s="28"/>
      <c r="B228" s="28"/>
      <c r="C228" s="28"/>
      <c r="D228" s="28"/>
      <c r="E228" s="28"/>
      <c r="F228" s="45"/>
      <c r="G228" s="50"/>
      <c r="H228" s="28"/>
      <c r="I228" s="45"/>
      <c r="J228" s="34"/>
      <c r="K228" s="34"/>
      <c r="L228" s="28"/>
      <c r="M228" s="80"/>
      <c r="N228" s="80"/>
      <c r="O228" s="95"/>
      <c r="P228" s="45"/>
      <c r="Q228" s="104"/>
      <c r="R228" s="28"/>
      <c r="S228" s="105"/>
      <c r="T228" s="34"/>
      <c r="U228" s="104"/>
      <c r="V228" s="98"/>
      <c r="W228" s="1"/>
      <c r="X228" s="1"/>
      <c r="Y228" s="1"/>
    </row>
    <row r="229" ht="15.75" customHeight="1">
      <c r="A229" s="28"/>
      <c r="B229" s="28"/>
      <c r="C229" s="28"/>
      <c r="D229" s="28"/>
      <c r="E229" s="28"/>
      <c r="F229" s="45"/>
      <c r="G229" s="50"/>
      <c r="H229" s="28"/>
      <c r="I229" s="45"/>
      <c r="J229" s="34"/>
      <c r="K229" s="34"/>
      <c r="L229" s="28"/>
      <c r="M229" s="80"/>
      <c r="N229" s="80"/>
      <c r="O229" s="95"/>
      <c r="P229" s="45"/>
      <c r="Q229" s="104"/>
      <c r="R229" s="28"/>
      <c r="S229" s="105"/>
      <c r="T229" s="34"/>
      <c r="U229" s="104"/>
      <c r="V229" s="98"/>
      <c r="W229" s="1"/>
      <c r="X229" s="1"/>
      <c r="Y229" s="1"/>
    </row>
    <row r="230" ht="15.75" customHeight="1">
      <c r="A230" s="28"/>
      <c r="B230" s="28"/>
      <c r="C230" s="28"/>
      <c r="D230" s="28"/>
      <c r="E230" s="28"/>
      <c r="F230" s="45"/>
      <c r="G230" s="50"/>
      <c r="H230" s="28"/>
      <c r="I230" s="45"/>
      <c r="J230" s="34"/>
      <c r="K230" s="34"/>
      <c r="L230" s="28"/>
      <c r="M230" s="80"/>
      <c r="N230" s="80"/>
      <c r="O230" s="95"/>
      <c r="P230" s="45"/>
      <c r="Q230" s="104"/>
      <c r="R230" s="28"/>
      <c r="S230" s="105"/>
      <c r="T230" s="34"/>
      <c r="U230" s="104"/>
      <c r="V230" s="98"/>
      <c r="W230" s="1"/>
      <c r="X230" s="1"/>
      <c r="Y230" s="1"/>
    </row>
    <row r="231" ht="15.75" customHeight="1">
      <c r="A231" s="28"/>
      <c r="B231" s="28"/>
      <c r="C231" s="28"/>
      <c r="D231" s="28"/>
      <c r="E231" s="28"/>
      <c r="F231" s="45"/>
      <c r="G231" s="50"/>
      <c r="H231" s="28"/>
      <c r="I231" s="45"/>
      <c r="J231" s="34"/>
      <c r="K231" s="34"/>
      <c r="L231" s="28"/>
      <c r="M231" s="80"/>
      <c r="N231" s="80"/>
      <c r="O231" s="95"/>
      <c r="P231" s="45"/>
      <c r="Q231" s="104"/>
      <c r="R231" s="28"/>
      <c r="S231" s="105"/>
      <c r="T231" s="34"/>
      <c r="U231" s="104"/>
      <c r="V231" s="98"/>
      <c r="W231" s="1"/>
      <c r="X231" s="1"/>
      <c r="Y231" s="1"/>
    </row>
    <row r="232" ht="15.75" customHeight="1">
      <c r="A232" s="28"/>
      <c r="B232" s="28"/>
      <c r="C232" s="28"/>
      <c r="D232" s="28"/>
      <c r="E232" s="28"/>
      <c r="F232" s="45"/>
      <c r="G232" s="50"/>
      <c r="H232" s="28"/>
      <c r="I232" s="45"/>
      <c r="J232" s="34"/>
      <c r="K232" s="34"/>
      <c r="L232" s="28"/>
      <c r="M232" s="80"/>
      <c r="N232" s="80"/>
      <c r="O232" s="95"/>
      <c r="P232" s="45"/>
      <c r="Q232" s="104"/>
      <c r="R232" s="28"/>
      <c r="S232" s="105"/>
      <c r="T232" s="34"/>
      <c r="U232" s="104"/>
      <c r="V232" s="98"/>
      <c r="W232" s="1"/>
      <c r="X232" s="1"/>
      <c r="Y232" s="1"/>
    </row>
    <row r="233" ht="15.75" customHeight="1">
      <c r="A233" s="28"/>
      <c r="B233" s="28"/>
      <c r="C233" s="28"/>
      <c r="D233" s="28"/>
      <c r="E233" s="28"/>
      <c r="F233" s="45"/>
      <c r="G233" s="50"/>
      <c r="H233" s="28"/>
      <c r="I233" s="45"/>
      <c r="J233" s="34"/>
      <c r="K233" s="34"/>
      <c r="L233" s="28"/>
      <c r="M233" s="80"/>
      <c r="N233" s="80"/>
      <c r="O233" s="95"/>
      <c r="P233" s="45"/>
      <c r="Q233" s="104"/>
      <c r="R233" s="28"/>
      <c r="S233" s="105"/>
      <c r="T233" s="34"/>
      <c r="U233" s="104"/>
      <c r="V233" s="98"/>
      <c r="W233" s="1"/>
      <c r="X233" s="1"/>
      <c r="Y233" s="1"/>
    </row>
    <row r="234" ht="15.75" customHeight="1">
      <c r="A234" s="28"/>
      <c r="B234" s="28"/>
      <c r="C234" s="28"/>
      <c r="D234" s="28"/>
      <c r="E234" s="28"/>
      <c r="F234" s="45"/>
      <c r="G234" s="50"/>
      <c r="H234" s="28"/>
      <c r="I234" s="45"/>
      <c r="J234" s="34"/>
      <c r="K234" s="34"/>
      <c r="L234" s="28"/>
      <c r="M234" s="80"/>
      <c r="N234" s="80"/>
      <c r="O234" s="95"/>
      <c r="P234" s="45"/>
      <c r="Q234" s="104"/>
      <c r="R234" s="28"/>
      <c r="S234" s="105"/>
      <c r="T234" s="34"/>
      <c r="U234" s="104"/>
      <c r="V234" s="98"/>
      <c r="W234" s="1"/>
      <c r="X234" s="1"/>
      <c r="Y234" s="1"/>
    </row>
    <row r="235" ht="15.75" customHeight="1">
      <c r="A235" s="28"/>
      <c r="B235" s="28"/>
      <c r="C235" s="28"/>
      <c r="D235" s="28"/>
      <c r="E235" s="28"/>
      <c r="F235" s="45"/>
      <c r="G235" s="50"/>
      <c r="H235" s="28"/>
      <c r="I235" s="45"/>
      <c r="J235" s="34"/>
      <c r="K235" s="34"/>
      <c r="L235" s="28"/>
      <c r="M235" s="80"/>
      <c r="N235" s="80"/>
      <c r="O235" s="95"/>
      <c r="P235" s="45"/>
      <c r="Q235" s="104"/>
      <c r="R235" s="28"/>
      <c r="S235" s="105"/>
      <c r="T235" s="34"/>
      <c r="U235" s="104"/>
      <c r="V235" s="98"/>
      <c r="W235" s="1"/>
      <c r="X235" s="1"/>
      <c r="Y235" s="1"/>
    </row>
    <row r="236" ht="15.75" customHeight="1">
      <c r="A236" s="28"/>
      <c r="B236" s="28"/>
      <c r="C236" s="28"/>
      <c r="D236" s="28"/>
      <c r="E236" s="28"/>
      <c r="F236" s="45"/>
      <c r="G236" s="50"/>
      <c r="H236" s="28"/>
      <c r="I236" s="45"/>
      <c r="J236" s="34"/>
      <c r="K236" s="34"/>
      <c r="L236" s="28"/>
      <c r="M236" s="80"/>
      <c r="N236" s="80"/>
      <c r="O236" s="95"/>
      <c r="P236" s="45"/>
      <c r="Q236" s="104"/>
      <c r="R236" s="28"/>
      <c r="S236" s="105"/>
      <c r="T236" s="34"/>
      <c r="U236" s="104"/>
      <c r="V236" s="98"/>
      <c r="W236" s="1"/>
      <c r="X236" s="1"/>
      <c r="Y236" s="1"/>
    </row>
    <row r="237" ht="15.75" customHeight="1">
      <c r="A237" s="28"/>
      <c r="B237" s="28"/>
      <c r="C237" s="28"/>
      <c r="D237" s="28"/>
      <c r="E237" s="28"/>
      <c r="F237" s="45"/>
      <c r="G237" s="50"/>
      <c r="H237" s="28"/>
      <c r="I237" s="45"/>
      <c r="J237" s="34"/>
      <c r="K237" s="34"/>
      <c r="L237" s="28"/>
      <c r="M237" s="80"/>
      <c r="N237" s="80"/>
      <c r="O237" s="95"/>
      <c r="P237" s="45"/>
      <c r="Q237" s="104"/>
      <c r="R237" s="28"/>
      <c r="S237" s="105"/>
      <c r="T237" s="34"/>
      <c r="U237" s="104"/>
      <c r="V237" s="98"/>
      <c r="W237" s="1"/>
      <c r="X237" s="1"/>
      <c r="Y237" s="1"/>
    </row>
    <row r="238" ht="15.75" customHeight="1">
      <c r="A238" s="28"/>
      <c r="B238" s="28"/>
      <c r="C238" s="28"/>
      <c r="D238" s="28"/>
      <c r="E238" s="28"/>
      <c r="F238" s="45"/>
      <c r="G238" s="50"/>
      <c r="H238" s="28"/>
      <c r="I238" s="45"/>
      <c r="J238" s="34"/>
      <c r="K238" s="34"/>
      <c r="L238" s="28"/>
      <c r="M238" s="80"/>
      <c r="N238" s="80"/>
      <c r="O238" s="95"/>
      <c r="P238" s="45"/>
      <c r="Q238" s="104"/>
      <c r="R238" s="28"/>
      <c r="S238" s="105"/>
      <c r="T238" s="34"/>
      <c r="U238" s="104"/>
      <c r="V238" s="98"/>
      <c r="W238" s="1"/>
      <c r="X238" s="1"/>
      <c r="Y238" s="1"/>
    </row>
    <row r="239" ht="15.75" customHeight="1">
      <c r="A239" s="28"/>
      <c r="B239" s="28"/>
      <c r="C239" s="28"/>
      <c r="D239" s="28"/>
      <c r="E239" s="28"/>
      <c r="F239" s="45"/>
      <c r="G239" s="50"/>
      <c r="H239" s="28"/>
      <c r="I239" s="45"/>
      <c r="J239" s="34"/>
      <c r="K239" s="34"/>
      <c r="L239" s="28"/>
      <c r="M239" s="80"/>
      <c r="N239" s="80"/>
      <c r="O239" s="95"/>
      <c r="P239" s="45"/>
      <c r="Q239" s="104"/>
      <c r="R239" s="28"/>
      <c r="S239" s="105"/>
      <c r="T239" s="34"/>
      <c r="U239" s="104"/>
      <c r="V239" s="98"/>
      <c r="W239" s="1"/>
      <c r="X239" s="1"/>
      <c r="Y239" s="1"/>
    </row>
    <row r="240" ht="15.75" customHeight="1">
      <c r="A240" s="28"/>
      <c r="B240" s="28"/>
      <c r="C240" s="28"/>
      <c r="D240" s="28"/>
      <c r="E240" s="28"/>
      <c r="F240" s="45"/>
      <c r="G240" s="50"/>
      <c r="H240" s="28"/>
      <c r="I240" s="45"/>
      <c r="J240" s="34"/>
      <c r="K240" s="34"/>
      <c r="L240" s="28"/>
      <c r="M240" s="80"/>
      <c r="N240" s="80"/>
      <c r="O240" s="95"/>
      <c r="P240" s="45"/>
      <c r="Q240" s="104"/>
      <c r="R240" s="28"/>
      <c r="S240" s="105"/>
      <c r="T240" s="34"/>
      <c r="U240" s="104"/>
      <c r="V240" s="98"/>
      <c r="W240" s="1"/>
      <c r="X240" s="1"/>
      <c r="Y240" s="1"/>
    </row>
    <row r="241" ht="15.75" customHeight="1">
      <c r="A241" s="28"/>
      <c r="B241" s="28"/>
      <c r="C241" s="28"/>
      <c r="D241" s="28"/>
      <c r="E241" s="28"/>
      <c r="F241" s="45"/>
      <c r="G241" s="50"/>
      <c r="H241" s="28"/>
      <c r="I241" s="45"/>
      <c r="J241" s="34"/>
      <c r="K241" s="34"/>
      <c r="L241" s="28"/>
      <c r="M241" s="80"/>
      <c r="N241" s="80"/>
      <c r="O241" s="95"/>
      <c r="P241" s="45"/>
      <c r="Q241" s="104"/>
      <c r="R241" s="28"/>
      <c r="S241" s="105"/>
      <c r="T241" s="34"/>
      <c r="U241" s="104"/>
      <c r="V241" s="98"/>
      <c r="W241" s="1"/>
      <c r="X241" s="1"/>
      <c r="Y241" s="1"/>
    </row>
    <row r="242" ht="15.75" customHeight="1">
      <c r="A242" s="28"/>
      <c r="B242" s="28"/>
      <c r="C242" s="28"/>
      <c r="D242" s="28"/>
      <c r="E242" s="28"/>
      <c r="F242" s="45"/>
      <c r="G242" s="50"/>
      <c r="H242" s="28"/>
      <c r="I242" s="45"/>
      <c r="J242" s="34"/>
      <c r="K242" s="34"/>
      <c r="L242" s="28"/>
      <c r="M242" s="80"/>
      <c r="N242" s="80"/>
      <c r="O242" s="95"/>
      <c r="P242" s="45"/>
      <c r="Q242" s="104"/>
      <c r="R242" s="28"/>
      <c r="S242" s="105"/>
      <c r="T242" s="34"/>
      <c r="U242" s="104"/>
      <c r="V242" s="98"/>
      <c r="W242" s="1"/>
      <c r="X242" s="1"/>
      <c r="Y242" s="1"/>
    </row>
    <row r="243" ht="15.75" customHeight="1">
      <c r="A243" s="28"/>
      <c r="B243" s="28"/>
      <c r="C243" s="28"/>
      <c r="D243" s="28"/>
      <c r="E243" s="28"/>
      <c r="F243" s="45"/>
      <c r="G243" s="50"/>
      <c r="H243" s="28"/>
      <c r="I243" s="45"/>
      <c r="J243" s="34"/>
      <c r="K243" s="34"/>
      <c r="L243" s="28"/>
      <c r="M243" s="80"/>
      <c r="N243" s="80"/>
      <c r="O243" s="95"/>
      <c r="P243" s="45"/>
      <c r="Q243" s="104"/>
      <c r="R243" s="28"/>
      <c r="S243" s="105"/>
      <c r="T243" s="34"/>
      <c r="U243" s="104"/>
      <c r="V243" s="98"/>
      <c r="W243" s="1"/>
      <c r="X243" s="1"/>
      <c r="Y243" s="1"/>
    </row>
    <row r="244" ht="15.75" customHeight="1">
      <c r="A244" s="28"/>
      <c r="B244" s="28"/>
      <c r="C244" s="28"/>
      <c r="D244" s="28"/>
      <c r="E244" s="28"/>
      <c r="F244" s="45"/>
      <c r="G244" s="50"/>
      <c r="H244" s="28"/>
      <c r="I244" s="45"/>
      <c r="J244" s="34"/>
      <c r="K244" s="34"/>
      <c r="L244" s="28"/>
      <c r="M244" s="80"/>
      <c r="N244" s="80"/>
      <c r="O244" s="95"/>
      <c r="P244" s="45"/>
      <c r="Q244" s="104"/>
      <c r="R244" s="28"/>
      <c r="S244" s="105"/>
      <c r="T244" s="34"/>
      <c r="U244" s="104"/>
      <c r="V244" s="98"/>
      <c r="W244" s="1"/>
      <c r="X244" s="1"/>
      <c r="Y244" s="1"/>
    </row>
    <row r="245" ht="15.75" customHeight="1">
      <c r="A245" s="28"/>
      <c r="B245" s="28"/>
      <c r="C245" s="28"/>
      <c r="D245" s="28"/>
      <c r="E245" s="28"/>
      <c r="F245" s="45"/>
      <c r="G245" s="50"/>
      <c r="H245" s="28"/>
      <c r="I245" s="45"/>
      <c r="J245" s="34"/>
      <c r="K245" s="34"/>
      <c r="L245" s="28"/>
      <c r="M245" s="80"/>
      <c r="N245" s="80"/>
      <c r="O245" s="95"/>
      <c r="P245" s="45"/>
      <c r="Q245" s="104"/>
      <c r="R245" s="28"/>
      <c r="S245" s="105"/>
      <c r="T245" s="34"/>
      <c r="U245" s="104"/>
      <c r="V245" s="98"/>
      <c r="W245" s="1"/>
      <c r="X245" s="1"/>
      <c r="Y245" s="1"/>
    </row>
    <row r="246" ht="15.75" customHeight="1">
      <c r="A246" s="28"/>
      <c r="B246" s="28"/>
      <c r="C246" s="28"/>
      <c r="D246" s="28"/>
      <c r="E246" s="28"/>
      <c r="F246" s="45"/>
      <c r="G246" s="50"/>
      <c r="H246" s="28"/>
      <c r="I246" s="45"/>
      <c r="J246" s="34"/>
      <c r="K246" s="34"/>
      <c r="L246" s="28"/>
      <c r="M246" s="80"/>
      <c r="N246" s="80"/>
      <c r="O246" s="95"/>
      <c r="P246" s="45"/>
      <c r="Q246" s="104"/>
      <c r="R246" s="28"/>
      <c r="S246" s="105"/>
      <c r="T246" s="34"/>
      <c r="U246" s="104"/>
      <c r="V246" s="98"/>
      <c r="W246" s="1"/>
      <c r="X246" s="1"/>
      <c r="Y246" s="1"/>
    </row>
    <row r="247" ht="15.75" customHeight="1">
      <c r="A247" s="28"/>
      <c r="B247" s="28"/>
      <c r="C247" s="28"/>
      <c r="D247" s="28"/>
      <c r="E247" s="28"/>
      <c r="F247" s="45"/>
      <c r="G247" s="50"/>
      <c r="H247" s="28"/>
      <c r="I247" s="45"/>
      <c r="J247" s="34"/>
      <c r="K247" s="34"/>
      <c r="L247" s="28"/>
      <c r="M247" s="80"/>
      <c r="N247" s="80"/>
      <c r="O247" s="95"/>
      <c r="P247" s="45"/>
      <c r="Q247" s="104"/>
      <c r="R247" s="28"/>
      <c r="S247" s="105"/>
      <c r="T247" s="34"/>
      <c r="U247" s="104"/>
      <c r="V247" s="98"/>
      <c r="W247" s="1"/>
      <c r="X247" s="1"/>
      <c r="Y247" s="1"/>
    </row>
    <row r="248" ht="15.75" customHeight="1">
      <c r="A248" s="28"/>
      <c r="B248" s="28"/>
      <c r="C248" s="28"/>
      <c r="D248" s="28"/>
      <c r="E248" s="28"/>
      <c r="F248" s="45"/>
      <c r="G248" s="50"/>
      <c r="H248" s="28"/>
      <c r="I248" s="45"/>
      <c r="J248" s="34"/>
      <c r="K248" s="34"/>
      <c r="L248" s="28"/>
      <c r="M248" s="80"/>
      <c r="N248" s="80"/>
      <c r="O248" s="95"/>
      <c r="P248" s="45"/>
      <c r="Q248" s="104"/>
      <c r="R248" s="28"/>
      <c r="S248" s="105"/>
      <c r="T248" s="34"/>
      <c r="U248" s="104"/>
      <c r="V248" s="98"/>
      <c r="W248" s="1"/>
      <c r="X248" s="1"/>
      <c r="Y248" s="1"/>
    </row>
    <row r="249" ht="15.75" customHeight="1">
      <c r="A249" s="28"/>
      <c r="B249" s="28"/>
      <c r="C249" s="28"/>
      <c r="D249" s="28"/>
      <c r="E249" s="28"/>
      <c r="F249" s="45"/>
      <c r="G249" s="50"/>
      <c r="H249" s="28"/>
      <c r="I249" s="45"/>
      <c r="J249" s="34"/>
      <c r="K249" s="34"/>
      <c r="L249" s="28"/>
      <c r="M249" s="80"/>
      <c r="N249" s="80"/>
      <c r="O249" s="95"/>
      <c r="P249" s="45"/>
      <c r="Q249" s="104"/>
      <c r="R249" s="28"/>
      <c r="S249" s="105"/>
      <c r="T249" s="34"/>
      <c r="U249" s="104"/>
      <c r="V249" s="98"/>
      <c r="W249" s="1"/>
      <c r="X249" s="1"/>
      <c r="Y249" s="1"/>
    </row>
    <row r="250" ht="15.75" customHeight="1">
      <c r="A250" s="28"/>
      <c r="B250" s="28"/>
      <c r="C250" s="28"/>
      <c r="D250" s="28"/>
      <c r="E250" s="28"/>
      <c r="F250" s="45"/>
      <c r="G250" s="50"/>
      <c r="H250" s="28"/>
      <c r="I250" s="45"/>
      <c r="J250" s="34"/>
      <c r="K250" s="34"/>
      <c r="L250" s="28"/>
      <c r="M250" s="80"/>
      <c r="N250" s="80"/>
      <c r="O250" s="95"/>
      <c r="P250" s="45"/>
      <c r="Q250" s="104"/>
      <c r="R250" s="28"/>
      <c r="S250" s="105"/>
      <c r="T250" s="34"/>
      <c r="U250" s="104"/>
      <c r="V250" s="98"/>
      <c r="W250" s="1"/>
      <c r="X250" s="1"/>
      <c r="Y250" s="1"/>
    </row>
    <row r="251" ht="15.75" customHeight="1">
      <c r="A251" s="28"/>
      <c r="B251" s="28"/>
      <c r="C251" s="28"/>
      <c r="D251" s="28"/>
      <c r="E251" s="28"/>
      <c r="F251" s="45"/>
      <c r="G251" s="50"/>
      <c r="H251" s="28"/>
      <c r="I251" s="45"/>
      <c r="J251" s="34"/>
      <c r="K251" s="34"/>
      <c r="L251" s="28"/>
      <c r="M251" s="80"/>
      <c r="N251" s="80"/>
      <c r="O251" s="95"/>
      <c r="P251" s="45"/>
      <c r="Q251" s="104"/>
      <c r="R251" s="28"/>
      <c r="S251" s="105"/>
      <c r="T251" s="34"/>
      <c r="U251" s="104"/>
      <c r="V251" s="98"/>
      <c r="W251" s="1"/>
      <c r="X251" s="1"/>
      <c r="Y251" s="1"/>
    </row>
    <row r="252" ht="15.75" customHeight="1">
      <c r="A252" s="28"/>
      <c r="B252" s="28"/>
      <c r="C252" s="28"/>
      <c r="D252" s="28"/>
      <c r="E252" s="28"/>
      <c r="F252" s="45"/>
      <c r="G252" s="50"/>
      <c r="H252" s="28"/>
      <c r="I252" s="45"/>
      <c r="J252" s="34"/>
      <c r="K252" s="34"/>
      <c r="L252" s="28"/>
      <c r="M252" s="80"/>
      <c r="N252" s="80"/>
      <c r="O252" s="95"/>
      <c r="P252" s="45"/>
      <c r="Q252" s="104"/>
      <c r="R252" s="28"/>
      <c r="S252" s="105"/>
      <c r="T252" s="34"/>
      <c r="U252" s="104"/>
      <c r="V252" s="98"/>
      <c r="W252" s="1"/>
      <c r="X252" s="1"/>
      <c r="Y252" s="1"/>
    </row>
    <row r="253" ht="15.75" customHeight="1">
      <c r="A253" s="28"/>
      <c r="B253" s="28"/>
      <c r="C253" s="28"/>
      <c r="D253" s="28"/>
      <c r="E253" s="28"/>
      <c r="F253" s="45"/>
      <c r="G253" s="50"/>
      <c r="H253" s="28"/>
      <c r="I253" s="45"/>
      <c r="J253" s="34"/>
      <c r="K253" s="34"/>
      <c r="L253" s="28"/>
      <c r="M253" s="80"/>
      <c r="N253" s="80"/>
      <c r="O253" s="95"/>
      <c r="P253" s="45"/>
      <c r="Q253" s="104"/>
      <c r="R253" s="28"/>
      <c r="S253" s="105"/>
      <c r="T253" s="34"/>
      <c r="U253" s="104"/>
      <c r="V253" s="98"/>
      <c r="W253" s="1"/>
      <c r="X253" s="1"/>
      <c r="Y253" s="1"/>
    </row>
    <row r="254" ht="15.75" customHeight="1">
      <c r="A254" s="28"/>
      <c r="B254" s="28"/>
      <c r="C254" s="28"/>
      <c r="D254" s="28"/>
      <c r="E254" s="28"/>
      <c r="F254" s="45"/>
      <c r="G254" s="50"/>
      <c r="H254" s="28"/>
      <c r="I254" s="45"/>
      <c r="J254" s="34"/>
      <c r="K254" s="34"/>
      <c r="L254" s="28"/>
      <c r="M254" s="80"/>
      <c r="N254" s="80"/>
      <c r="O254" s="95"/>
      <c r="P254" s="45"/>
      <c r="Q254" s="104"/>
      <c r="R254" s="28"/>
      <c r="S254" s="105"/>
      <c r="T254" s="34"/>
      <c r="U254" s="104"/>
      <c r="V254" s="98"/>
      <c r="W254" s="1"/>
      <c r="X254" s="1"/>
      <c r="Y254" s="1"/>
    </row>
    <row r="255" ht="15.75" customHeight="1">
      <c r="A255" s="28"/>
      <c r="B255" s="28"/>
      <c r="C255" s="28"/>
      <c r="D255" s="28"/>
      <c r="E255" s="28"/>
      <c r="F255" s="45"/>
      <c r="G255" s="50"/>
      <c r="H255" s="28"/>
      <c r="I255" s="45"/>
      <c r="J255" s="34"/>
      <c r="K255" s="34"/>
      <c r="L255" s="28"/>
      <c r="M255" s="80"/>
      <c r="N255" s="80"/>
      <c r="O255" s="95"/>
      <c r="P255" s="45"/>
      <c r="Q255" s="104"/>
      <c r="R255" s="28"/>
      <c r="S255" s="105"/>
      <c r="T255" s="34"/>
      <c r="U255" s="104"/>
      <c r="V255" s="98"/>
      <c r="W255" s="1"/>
      <c r="X255" s="1"/>
      <c r="Y255" s="1"/>
    </row>
    <row r="256" ht="15.75" customHeight="1">
      <c r="A256" s="28"/>
      <c r="B256" s="28"/>
      <c r="C256" s="28"/>
      <c r="D256" s="28"/>
      <c r="E256" s="28"/>
      <c r="F256" s="45"/>
      <c r="G256" s="50"/>
      <c r="H256" s="28"/>
      <c r="I256" s="45"/>
      <c r="J256" s="34"/>
      <c r="K256" s="34"/>
      <c r="L256" s="28"/>
      <c r="M256" s="80"/>
      <c r="N256" s="80"/>
      <c r="O256" s="95"/>
      <c r="P256" s="45"/>
      <c r="Q256" s="104"/>
      <c r="R256" s="28"/>
      <c r="S256" s="105"/>
      <c r="T256" s="34"/>
      <c r="U256" s="104"/>
      <c r="V256" s="98"/>
      <c r="W256" s="1"/>
      <c r="X256" s="1"/>
      <c r="Y256" s="1"/>
    </row>
    <row r="257" ht="15.75" customHeight="1">
      <c r="A257" s="28"/>
      <c r="B257" s="28"/>
      <c r="C257" s="28"/>
      <c r="D257" s="28"/>
      <c r="E257" s="28"/>
      <c r="F257" s="45"/>
      <c r="G257" s="50"/>
      <c r="H257" s="28"/>
      <c r="I257" s="45"/>
      <c r="J257" s="34"/>
      <c r="K257" s="34"/>
      <c r="L257" s="28"/>
      <c r="M257" s="80"/>
      <c r="N257" s="80"/>
      <c r="O257" s="95"/>
      <c r="P257" s="45"/>
      <c r="Q257" s="104"/>
      <c r="R257" s="28"/>
      <c r="S257" s="105"/>
      <c r="T257" s="34"/>
      <c r="U257" s="104"/>
      <c r="V257" s="98"/>
      <c r="W257" s="1"/>
      <c r="X257" s="1"/>
      <c r="Y257" s="1"/>
    </row>
    <row r="258" ht="15.75" customHeight="1">
      <c r="A258" s="28"/>
      <c r="B258" s="28"/>
      <c r="C258" s="28"/>
      <c r="D258" s="28"/>
      <c r="E258" s="28"/>
      <c r="F258" s="45"/>
      <c r="G258" s="50"/>
      <c r="H258" s="28"/>
      <c r="I258" s="45"/>
      <c r="J258" s="34"/>
      <c r="K258" s="34"/>
      <c r="L258" s="28"/>
      <c r="M258" s="80"/>
      <c r="N258" s="80"/>
      <c r="O258" s="95"/>
      <c r="P258" s="45"/>
      <c r="Q258" s="104"/>
      <c r="R258" s="28"/>
      <c r="S258" s="105"/>
      <c r="T258" s="34"/>
      <c r="U258" s="104"/>
      <c r="V258" s="98"/>
      <c r="W258" s="1"/>
      <c r="X258" s="1"/>
      <c r="Y258" s="1"/>
    </row>
    <row r="259" ht="15.75" customHeight="1">
      <c r="A259" s="28"/>
      <c r="B259" s="28"/>
      <c r="C259" s="28"/>
      <c r="D259" s="28"/>
      <c r="E259" s="28"/>
      <c r="F259" s="45"/>
      <c r="G259" s="50"/>
      <c r="H259" s="28"/>
      <c r="I259" s="45"/>
      <c r="J259" s="34"/>
      <c r="K259" s="34"/>
      <c r="L259" s="28"/>
      <c r="M259" s="80"/>
      <c r="N259" s="80"/>
      <c r="O259" s="95"/>
      <c r="P259" s="45"/>
      <c r="Q259" s="104"/>
      <c r="R259" s="28"/>
      <c r="S259" s="105"/>
      <c r="T259" s="34"/>
      <c r="U259" s="104"/>
      <c r="V259" s="98"/>
      <c r="W259" s="1"/>
      <c r="X259" s="1"/>
      <c r="Y259" s="1"/>
    </row>
    <row r="260" ht="15.75" customHeight="1">
      <c r="A260" s="28"/>
      <c r="B260" s="28"/>
      <c r="C260" s="28"/>
      <c r="D260" s="28"/>
      <c r="E260" s="28"/>
      <c r="F260" s="45"/>
      <c r="G260" s="50"/>
      <c r="H260" s="28"/>
      <c r="I260" s="45"/>
      <c r="J260" s="34"/>
      <c r="K260" s="34"/>
      <c r="L260" s="28"/>
      <c r="M260" s="80"/>
      <c r="N260" s="80"/>
      <c r="O260" s="95"/>
      <c r="P260" s="45"/>
      <c r="Q260" s="104"/>
      <c r="R260" s="28"/>
      <c r="S260" s="105"/>
      <c r="T260" s="34"/>
      <c r="U260" s="104"/>
      <c r="V260" s="98"/>
      <c r="W260" s="1"/>
      <c r="X260" s="1"/>
      <c r="Y260" s="1"/>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C3:C5 C8:C10 C13:C15 C18:C20 C23:C25 C28:C30 C33:C35 C38:C40 C43:C45 C48:C50 C53:C55 C58:C60">
      <formula1>"United States,UK,DACH,France,LatAm"</formula1>
    </dataValidation>
    <dataValidation type="list" allowBlank="1" showErrorMessage="1" sqref="E3:E5 E8:E10 E13:E15 E18:E20 E23:E25 E28:E30 E33:E35 E38:E40 E43:E45 E48:E50 E53:E55 E58:E60">
      <formula1>"IG,YT,TikTok"</formula1>
    </dataValidation>
    <dataValidation type="list" allowBlank="1" showErrorMessage="1" sqref="D3:D5 D8:D10 D13:D15 D18:D20 D23:D25 D28:D30 D33:D35 D38:D40 D43:D45 D48:D50 D53:D55 D58:D60">
      <formula1>"1st Email,2nd Email,3rd Email,Final Email,No reply,No deal,Not interested,Negotiating,Signed"</formula1>
    </dataValidation>
    <dataValidation type="list" allowBlank="1" showErrorMessage="1" sqref="H3:H5 H8:H10 H13:H15 H18:H20 H23:H25 H28:H30 H33:H35 H38:H40 H43:H45 H48:H50 H53:H55 H58:H60">
      <formula1>"Stories,Feed Post,Reel,Integration,Dedicated Vid,TikTok"</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2.38"/>
    <col customWidth="1" min="2" max="2" width="25.75"/>
    <col customWidth="1" min="3" max="3" width="15.5"/>
    <col customWidth="1" min="4" max="4" width="11.38"/>
    <col customWidth="1" min="5" max="5" width="15.5"/>
    <col customWidth="1" min="6" max="7" width="10.25"/>
    <col customWidth="1" min="8" max="11" width="10.0"/>
    <col customWidth="1" min="12" max="12" width="6.5"/>
    <col customWidth="1" min="13" max="14" width="11.25"/>
    <col customWidth="1" min="15" max="15" width="2.88"/>
    <col customWidth="1" min="16" max="16" width="12.88"/>
  </cols>
  <sheetData>
    <row r="1" ht="19.5" customHeight="1">
      <c r="A1" s="37"/>
      <c r="B1" s="38"/>
      <c r="C1" s="38"/>
      <c r="D1" s="38"/>
      <c r="E1" s="38"/>
      <c r="F1" s="38"/>
      <c r="G1" s="38"/>
      <c r="H1" s="40"/>
      <c r="I1" s="38"/>
      <c r="J1" s="41"/>
      <c r="K1" s="41"/>
      <c r="L1" s="43"/>
      <c r="M1" s="44"/>
      <c r="N1" s="44"/>
      <c r="O1" s="38"/>
      <c r="P1" s="38"/>
      <c r="Q1" s="37"/>
      <c r="R1" s="37"/>
      <c r="S1" s="37"/>
    </row>
    <row r="2" ht="52.5" customHeight="1">
      <c r="A2" s="12"/>
      <c r="B2" s="12" t="s">
        <v>4</v>
      </c>
      <c r="C2" s="12" t="s">
        <v>9</v>
      </c>
      <c r="D2" s="12" t="s">
        <v>43</v>
      </c>
      <c r="E2" s="12" t="s">
        <v>44</v>
      </c>
      <c r="F2" s="12" t="s">
        <v>11</v>
      </c>
      <c r="G2" s="12" t="s">
        <v>13</v>
      </c>
      <c r="H2" s="26" t="s">
        <v>45</v>
      </c>
      <c r="I2" s="12" t="s">
        <v>14</v>
      </c>
      <c r="J2" s="17" t="s">
        <v>23</v>
      </c>
      <c r="K2" s="17" t="s">
        <v>46</v>
      </c>
      <c r="L2" s="20" t="s">
        <v>20</v>
      </c>
      <c r="M2" s="24" t="s">
        <v>47</v>
      </c>
      <c r="N2" s="24" t="s">
        <v>48</v>
      </c>
      <c r="O2" s="12" t="s">
        <v>49</v>
      </c>
      <c r="Q2" s="12"/>
      <c r="R2" s="12"/>
      <c r="S2" s="12"/>
    </row>
    <row r="3" ht="15.75" customHeight="1">
      <c r="A3" s="48"/>
      <c r="B3" s="49" t="s">
        <v>50</v>
      </c>
      <c r="C3" s="49" t="s">
        <v>51</v>
      </c>
      <c r="D3" s="49" t="s">
        <v>52</v>
      </c>
      <c r="E3" s="49" t="s">
        <v>53</v>
      </c>
      <c r="F3" s="49" t="s">
        <v>52</v>
      </c>
      <c r="G3" s="49" t="s">
        <v>55</v>
      </c>
      <c r="H3" s="51">
        <v>45672.0</v>
      </c>
      <c r="I3" s="49" t="s">
        <v>56</v>
      </c>
      <c r="J3" s="52" t="s">
        <v>57</v>
      </c>
      <c r="K3" s="52" t="s">
        <v>57</v>
      </c>
      <c r="L3" s="54">
        <v>4.0E-4</v>
      </c>
      <c r="M3" s="55">
        <v>75000.0</v>
      </c>
      <c r="N3" s="55">
        <v>52000.0</v>
      </c>
      <c r="O3" s="49"/>
      <c r="P3" s="49" t="s">
        <v>59</v>
      </c>
      <c r="Q3" s="48"/>
      <c r="R3" s="48"/>
      <c r="S3" s="48"/>
    </row>
    <row r="4" ht="15.75" customHeight="1">
      <c r="A4" s="48"/>
      <c r="O4" s="49"/>
      <c r="P4" s="49" t="s">
        <v>60</v>
      </c>
      <c r="Q4" s="48"/>
      <c r="R4" s="48"/>
      <c r="S4" s="48"/>
    </row>
    <row r="5" ht="15.75" customHeight="1">
      <c r="A5" s="48"/>
      <c r="O5" s="49"/>
      <c r="P5" s="49" t="s">
        <v>61</v>
      </c>
      <c r="Q5" s="48"/>
      <c r="R5" s="48"/>
      <c r="S5" s="48"/>
    </row>
    <row r="6" ht="15.75" customHeight="1">
      <c r="A6" s="48"/>
      <c r="B6" s="49"/>
      <c r="C6" s="49"/>
      <c r="D6" s="49"/>
      <c r="E6" s="49"/>
      <c r="F6" s="49"/>
      <c r="G6" s="49"/>
      <c r="H6" s="51"/>
      <c r="I6" s="49"/>
      <c r="J6" s="52"/>
      <c r="K6" s="52"/>
      <c r="L6" s="54"/>
      <c r="M6" s="55"/>
      <c r="N6" s="55"/>
      <c r="O6" s="49"/>
      <c r="P6" s="49"/>
      <c r="Q6" s="48"/>
      <c r="R6" s="48"/>
      <c r="S6" s="48"/>
    </row>
    <row r="7" ht="15.75" customHeight="1">
      <c r="A7" s="56"/>
      <c r="B7" s="57"/>
      <c r="C7" s="57"/>
      <c r="D7" s="57"/>
      <c r="E7" s="57"/>
      <c r="F7" s="49"/>
      <c r="G7" s="49"/>
      <c r="H7" s="51"/>
      <c r="I7" s="49"/>
      <c r="J7" s="58"/>
      <c r="K7" s="58"/>
      <c r="L7" s="59"/>
      <c r="M7" s="61"/>
      <c r="N7" s="61"/>
      <c r="O7" s="57"/>
      <c r="P7" s="49"/>
      <c r="Q7" s="56"/>
      <c r="R7" s="56"/>
      <c r="S7" s="56"/>
    </row>
    <row r="8" ht="15.75" customHeight="1">
      <c r="A8" s="48"/>
      <c r="B8" s="49"/>
      <c r="C8" s="49"/>
      <c r="D8" s="49"/>
      <c r="E8" s="49"/>
      <c r="F8" s="49"/>
      <c r="G8" s="49"/>
      <c r="H8" s="51"/>
      <c r="I8" s="49"/>
      <c r="J8" s="52"/>
      <c r="K8" s="52"/>
      <c r="L8" s="54"/>
      <c r="M8" s="55"/>
      <c r="N8" s="55"/>
      <c r="O8" s="49"/>
      <c r="P8" s="49"/>
      <c r="Q8" s="48"/>
      <c r="R8" s="48"/>
      <c r="S8" s="48"/>
    </row>
    <row r="9" ht="15.75" customHeight="1">
      <c r="A9" s="48"/>
      <c r="B9" s="49"/>
      <c r="C9" s="49"/>
      <c r="D9" s="49"/>
      <c r="E9" s="49"/>
      <c r="F9" s="49"/>
      <c r="G9" s="49"/>
      <c r="H9" s="51"/>
      <c r="I9" s="49"/>
      <c r="J9" s="52"/>
      <c r="K9" s="52"/>
      <c r="L9" s="54"/>
      <c r="M9" s="55"/>
      <c r="N9" s="55"/>
      <c r="O9" s="49"/>
      <c r="P9" s="49"/>
      <c r="Q9" s="48"/>
      <c r="R9" s="48"/>
      <c r="S9" s="48"/>
    </row>
    <row r="10" ht="15.75" customHeight="1">
      <c r="A10" s="48"/>
      <c r="B10" s="49"/>
      <c r="C10" s="49"/>
      <c r="D10" s="49"/>
      <c r="E10" s="49"/>
      <c r="F10" s="49"/>
      <c r="G10" s="49"/>
      <c r="H10" s="51"/>
      <c r="I10" s="49"/>
      <c r="J10" s="52"/>
      <c r="K10" s="52"/>
      <c r="L10" s="54"/>
      <c r="M10" s="55"/>
      <c r="N10" s="55"/>
      <c r="O10" s="49"/>
      <c r="P10" s="49"/>
      <c r="Q10" s="48"/>
      <c r="R10" s="48"/>
      <c r="S10" s="48"/>
    </row>
    <row r="11" ht="15.75" customHeight="1">
      <c r="A11" s="48"/>
      <c r="B11" s="49"/>
      <c r="C11" s="49"/>
      <c r="D11" s="49"/>
      <c r="E11" s="49"/>
      <c r="F11" s="49"/>
      <c r="G11" s="49"/>
      <c r="H11" s="51"/>
      <c r="I11" s="49"/>
      <c r="J11" s="52"/>
      <c r="K11" s="52"/>
      <c r="L11" s="54"/>
      <c r="M11" s="55"/>
      <c r="N11" s="55"/>
      <c r="O11" s="49"/>
      <c r="P11" s="49"/>
      <c r="Q11" s="48"/>
      <c r="R11" s="48"/>
      <c r="S11" s="48"/>
    </row>
    <row r="12" ht="15.75" customHeight="1">
      <c r="A12" s="56"/>
      <c r="B12" s="57"/>
      <c r="C12" s="57"/>
      <c r="D12" s="57"/>
      <c r="E12" s="57"/>
      <c r="F12" s="49"/>
      <c r="G12" s="49"/>
      <c r="H12" s="51"/>
      <c r="I12" s="49"/>
      <c r="J12" s="58"/>
      <c r="K12" s="58"/>
      <c r="L12" s="59"/>
      <c r="M12" s="61"/>
      <c r="N12" s="61"/>
      <c r="O12" s="57"/>
      <c r="P12" s="49"/>
      <c r="Q12" s="56"/>
      <c r="R12" s="56"/>
      <c r="S12" s="56"/>
    </row>
    <row r="13" ht="15.75" customHeight="1">
      <c r="A13" s="48"/>
      <c r="B13" s="49"/>
      <c r="C13" s="49"/>
      <c r="D13" s="49"/>
      <c r="E13" s="49"/>
      <c r="F13" s="49"/>
      <c r="G13" s="49"/>
      <c r="H13" s="51"/>
      <c r="I13" s="49"/>
      <c r="J13" s="52"/>
      <c r="K13" s="52"/>
      <c r="L13" s="54"/>
      <c r="M13" s="55"/>
      <c r="N13" s="55"/>
      <c r="O13" s="49"/>
      <c r="P13" s="49"/>
      <c r="Q13" s="48"/>
      <c r="R13" s="48"/>
      <c r="S13" s="48"/>
    </row>
    <row r="14" ht="15.75" customHeight="1">
      <c r="A14" s="48"/>
      <c r="B14" s="49"/>
      <c r="C14" s="49"/>
      <c r="D14" s="49"/>
      <c r="E14" s="49"/>
      <c r="F14" s="49"/>
      <c r="G14" s="49"/>
      <c r="H14" s="51"/>
      <c r="I14" s="49"/>
      <c r="J14" s="52"/>
      <c r="K14" s="52"/>
      <c r="L14" s="54"/>
      <c r="M14" s="55"/>
      <c r="N14" s="55"/>
      <c r="O14" s="49"/>
      <c r="P14" s="49"/>
      <c r="Q14" s="48"/>
      <c r="R14" s="48"/>
      <c r="S14" s="48"/>
    </row>
    <row r="15" ht="15.75" customHeight="1">
      <c r="A15" s="48"/>
      <c r="B15" s="49"/>
      <c r="C15" s="49"/>
      <c r="D15" s="49"/>
      <c r="E15" s="49"/>
      <c r="F15" s="49"/>
      <c r="G15" s="49"/>
      <c r="H15" s="51"/>
      <c r="I15" s="49"/>
      <c r="J15" s="52"/>
      <c r="K15" s="52"/>
      <c r="L15" s="54"/>
      <c r="M15" s="55"/>
      <c r="N15" s="55"/>
      <c r="O15" s="49"/>
      <c r="P15" s="49"/>
      <c r="Q15" s="48"/>
      <c r="R15" s="48"/>
      <c r="S15" s="48"/>
    </row>
    <row r="16" ht="15.75" customHeight="1">
      <c r="A16" s="48"/>
      <c r="B16" s="49"/>
      <c r="C16" s="49"/>
      <c r="D16" s="49"/>
      <c r="E16" s="49"/>
      <c r="F16" s="49"/>
      <c r="G16" s="49"/>
      <c r="H16" s="51"/>
      <c r="I16" s="49"/>
      <c r="J16" s="52"/>
      <c r="K16" s="52"/>
      <c r="L16" s="54"/>
      <c r="M16" s="55"/>
      <c r="N16" s="55"/>
      <c r="O16" s="49"/>
      <c r="P16" s="49"/>
      <c r="Q16" s="48"/>
      <c r="R16" s="48"/>
      <c r="S16" s="48"/>
    </row>
    <row r="17" ht="15.75" customHeight="1">
      <c r="A17" s="56"/>
      <c r="B17" s="57"/>
      <c r="C17" s="57"/>
      <c r="D17" s="57"/>
      <c r="E17" s="57"/>
      <c r="F17" s="49"/>
      <c r="G17" s="49"/>
      <c r="H17" s="51"/>
      <c r="I17" s="49"/>
      <c r="J17" s="58"/>
      <c r="K17" s="58"/>
      <c r="L17" s="59"/>
      <c r="M17" s="61"/>
      <c r="N17" s="61"/>
      <c r="O17" s="57"/>
      <c r="P17" s="49"/>
      <c r="Q17" s="56"/>
      <c r="R17" s="56"/>
      <c r="S17" s="56"/>
    </row>
    <row r="18" ht="15.75" customHeight="1">
      <c r="A18" s="48"/>
      <c r="B18" s="49"/>
      <c r="C18" s="49"/>
      <c r="D18" s="49"/>
      <c r="E18" s="49"/>
      <c r="F18" s="49"/>
      <c r="G18" s="49"/>
      <c r="H18" s="51"/>
      <c r="I18" s="49"/>
      <c r="J18" s="52"/>
      <c r="K18" s="52"/>
      <c r="L18" s="54"/>
      <c r="M18" s="55"/>
      <c r="N18" s="55"/>
      <c r="O18" s="49"/>
      <c r="P18" s="49"/>
      <c r="Q18" s="48"/>
      <c r="R18" s="48"/>
      <c r="S18" s="48"/>
    </row>
    <row r="19" ht="15.75" customHeight="1">
      <c r="A19" s="48"/>
      <c r="B19" s="49"/>
      <c r="C19" s="49"/>
      <c r="D19" s="49"/>
      <c r="E19" s="49"/>
      <c r="F19" s="49"/>
      <c r="G19" s="49"/>
      <c r="H19" s="51"/>
      <c r="I19" s="49"/>
      <c r="J19" s="52"/>
      <c r="K19" s="52"/>
      <c r="L19" s="54"/>
      <c r="M19" s="55"/>
      <c r="N19" s="55"/>
      <c r="O19" s="49"/>
      <c r="P19" s="49"/>
      <c r="Q19" s="48"/>
      <c r="R19" s="48"/>
      <c r="S19" s="48"/>
    </row>
    <row r="20" ht="15.75" customHeight="1">
      <c r="A20" s="48"/>
      <c r="B20" s="49"/>
      <c r="C20" s="49"/>
      <c r="D20" s="49"/>
      <c r="E20" s="49"/>
      <c r="F20" s="49"/>
      <c r="G20" s="49"/>
      <c r="H20" s="51"/>
      <c r="I20" s="49"/>
      <c r="J20" s="52"/>
      <c r="K20" s="52"/>
      <c r="L20" s="54"/>
      <c r="M20" s="55"/>
      <c r="N20" s="55"/>
      <c r="O20" s="49"/>
      <c r="P20" s="49"/>
      <c r="Q20" s="48"/>
      <c r="R20" s="48"/>
      <c r="S20" s="48"/>
    </row>
    <row r="21" ht="15.75" customHeight="1">
      <c r="A21" s="48"/>
      <c r="B21" s="49"/>
      <c r="C21" s="49"/>
      <c r="D21" s="49"/>
      <c r="E21" s="49"/>
      <c r="F21" s="49"/>
      <c r="G21" s="49"/>
      <c r="H21" s="51"/>
      <c r="I21" s="49"/>
      <c r="J21" s="52"/>
      <c r="K21" s="52"/>
      <c r="L21" s="54"/>
      <c r="M21" s="55"/>
      <c r="N21" s="55"/>
      <c r="O21" s="49"/>
      <c r="P21" s="49"/>
      <c r="Q21" s="48"/>
      <c r="R21" s="48"/>
      <c r="S21" s="48"/>
    </row>
    <row r="22" ht="15.75" customHeight="1">
      <c r="A22" s="56"/>
      <c r="B22" s="57"/>
      <c r="C22" s="57"/>
      <c r="D22" s="57"/>
      <c r="E22" s="57"/>
      <c r="F22" s="49"/>
      <c r="G22" s="49"/>
      <c r="H22" s="51"/>
      <c r="I22" s="49"/>
      <c r="J22" s="58"/>
      <c r="K22" s="58"/>
      <c r="L22" s="59"/>
      <c r="M22" s="61"/>
      <c r="N22" s="61"/>
      <c r="O22" s="57"/>
      <c r="P22" s="49"/>
      <c r="Q22" s="56"/>
      <c r="R22" s="56"/>
      <c r="S22" s="56"/>
    </row>
    <row r="23" ht="15.75" customHeight="1">
      <c r="A23" s="48"/>
      <c r="B23" s="49"/>
      <c r="C23" s="49"/>
      <c r="D23" s="49"/>
      <c r="E23" s="49"/>
      <c r="F23" s="49"/>
      <c r="G23" s="49"/>
      <c r="H23" s="51"/>
      <c r="I23" s="49"/>
      <c r="J23" s="52"/>
      <c r="K23" s="52"/>
      <c r="L23" s="54"/>
      <c r="M23" s="55"/>
      <c r="N23" s="55"/>
      <c r="O23" s="49"/>
      <c r="P23" s="49"/>
      <c r="Q23" s="48"/>
      <c r="R23" s="48"/>
      <c r="S23" s="48"/>
    </row>
    <row r="24" ht="15.75" customHeight="1">
      <c r="A24" s="48"/>
      <c r="B24" s="49"/>
      <c r="C24" s="49"/>
      <c r="D24" s="49"/>
      <c r="E24" s="49"/>
      <c r="F24" s="49"/>
      <c r="G24" s="49"/>
      <c r="H24" s="51"/>
      <c r="I24" s="49"/>
      <c r="J24" s="52"/>
      <c r="K24" s="52"/>
      <c r="L24" s="54"/>
      <c r="M24" s="55"/>
      <c r="N24" s="55"/>
      <c r="O24" s="49"/>
      <c r="P24" s="49"/>
      <c r="Q24" s="48"/>
      <c r="R24" s="48"/>
      <c r="S24" s="48"/>
    </row>
    <row r="25" ht="15.75" customHeight="1">
      <c r="A25" s="48"/>
      <c r="B25" s="49"/>
      <c r="C25" s="49"/>
      <c r="D25" s="49"/>
      <c r="E25" s="49"/>
      <c r="F25" s="49"/>
      <c r="G25" s="49"/>
      <c r="H25" s="51"/>
      <c r="I25" s="49"/>
      <c r="J25" s="52"/>
      <c r="K25" s="52"/>
      <c r="L25" s="54"/>
      <c r="M25" s="55"/>
      <c r="N25" s="55"/>
      <c r="O25" s="49"/>
      <c r="P25" s="49"/>
      <c r="Q25" s="48"/>
      <c r="R25" s="48"/>
      <c r="S25" s="48"/>
    </row>
    <row r="26" ht="15.75" customHeight="1">
      <c r="A26" s="48"/>
      <c r="B26" s="49"/>
      <c r="C26" s="49"/>
      <c r="D26" s="49"/>
      <c r="E26" s="49"/>
      <c r="F26" s="49"/>
      <c r="G26" s="49"/>
      <c r="H26" s="51"/>
      <c r="I26" s="49"/>
      <c r="J26" s="52"/>
      <c r="K26" s="52"/>
      <c r="L26" s="54"/>
      <c r="M26" s="55"/>
      <c r="N26" s="55"/>
      <c r="O26" s="49"/>
      <c r="P26" s="49"/>
      <c r="Q26" s="48"/>
      <c r="R26" s="48"/>
      <c r="S26" s="48"/>
    </row>
    <row r="27" ht="15.75" customHeight="1">
      <c r="A27" s="56"/>
      <c r="B27" s="57"/>
      <c r="C27" s="57"/>
      <c r="D27" s="57"/>
      <c r="E27" s="57"/>
      <c r="F27" s="49"/>
      <c r="G27" s="49"/>
      <c r="H27" s="51"/>
      <c r="I27" s="49"/>
      <c r="J27" s="58"/>
      <c r="K27" s="58"/>
      <c r="L27" s="59"/>
      <c r="M27" s="61"/>
      <c r="N27" s="61"/>
      <c r="O27" s="57"/>
      <c r="P27" s="49"/>
      <c r="Q27" s="56"/>
      <c r="R27" s="56"/>
      <c r="S27" s="56"/>
    </row>
    <row r="28" ht="15.75" customHeight="1">
      <c r="A28" s="48"/>
      <c r="B28" s="49"/>
      <c r="C28" s="49"/>
      <c r="D28" s="49"/>
      <c r="E28" s="49"/>
      <c r="F28" s="49"/>
      <c r="G28" s="49"/>
      <c r="H28" s="51"/>
      <c r="I28" s="49"/>
      <c r="J28" s="52"/>
      <c r="K28" s="52"/>
      <c r="L28" s="54"/>
      <c r="M28" s="55"/>
      <c r="N28" s="55"/>
      <c r="O28" s="49"/>
      <c r="P28" s="49"/>
      <c r="Q28" s="48"/>
      <c r="R28" s="48"/>
      <c r="S28" s="48"/>
    </row>
    <row r="29" ht="15.75" customHeight="1">
      <c r="A29" s="48"/>
      <c r="B29" s="49"/>
      <c r="C29" s="49"/>
      <c r="D29" s="49"/>
      <c r="E29" s="49"/>
      <c r="F29" s="49"/>
      <c r="G29" s="49"/>
      <c r="H29" s="51"/>
      <c r="I29" s="49"/>
      <c r="J29" s="52"/>
      <c r="K29" s="52"/>
      <c r="L29" s="54"/>
      <c r="M29" s="55"/>
      <c r="N29" s="55"/>
      <c r="O29" s="49"/>
      <c r="P29" s="49"/>
      <c r="Q29" s="48"/>
      <c r="R29" s="48"/>
      <c r="S29" s="48"/>
    </row>
    <row r="30" ht="15.75" customHeight="1">
      <c r="A30" s="48"/>
      <c r="B30" s="49"/>
      <c r="C30" s="49"/>
      <c r="D30" s="49"/>
      <c r="E30" s="49"/>
      <c r="F30" s="49"/>
      <c r="G30" s="49"/>
      <c r="H30" s="51"/>
      <c r="I30" s="49"/>
      <c r="J30" s="52"/>
      <c r="K30" s="52"/>
      <c r="L30" s="54"/>
      <c r="M30" s="55"/>
      <c r="N30" s="55"/>
      <c r="O30" s="49"/>
      <c r="P30" s="49"/>
      <c r="Q30" s="48"/>
      <c r="R30" s="48"/>
      <c r="S30" s="48"/>
    </row>
    <row r="31" ht="15.75" customHeight="1">
      <c r="A31" s="48"/>
      <c r="B31" s="49"/>
      <c r="C31" s="49"/>
      <c r="D31" s="49"/>
      <c r="E31" s="49"/>
      <c r="F31" s="49"/>
      <c r="G31" s="49"/>
      <c r="H31" s="51"/>
      <c r="I31" s="49"/>
      <c r="J31" s="52"/>
      <c r="K31" s="52"/>
      <c r="L31" s="54"/>
      <c r="M31" s="55"/>
      <c r="N31" s="55"/>
      <c r="O31" s="49"/>
      <c r="P31" s="49"/>
      <c r="Q31" s="48"/>
      <c r="R31" s="48"/>
      <c r="S31" s="48"/>
    </row>
    <row r="32" ht="15.75" customHeight="1">
      <c r="A32" s="56"/>
      <c r="B32" s="57"/>
      <c r="C32" s="57"/>
      <c r="D32" s="57"/>
      <c r="E32" s="57"/>
      <c r="F32" s="49"/>
      <c r="G32" s="49"/>
      <c r="H32" s="51"/>
      <c r="I32" s="49"/>
      <c r="J32" s="58"/>
      <c r="K32" s="58"/>
      <c r="L32" s="59"/>
      <c r="M32" s="61"/>
      <c r="N32" s="61"/>
      <c r="O32" s="57"/>
      <c r="P32" s="49"/>
      <c r="Q32" s="56"/>
      <c r="R32" s="56"/>
      <c r="S32" s="56"/>
    </row>
    <row r="33" ht="15.75" customHeight="1">
      <c r="A33" s="48"/>
      <c r="B33" s="49"/>
      <c r="C33" s="49"/>
      <c r="D33" s="49"/>
      <c r="E33" s="49"/>
      <c r="F33" s="49"/>
      <c r="G33" s="49"/>
      <c r="H33" s="51"/>
      <c r="I33" s="49"/>
      <c r="J33" s="52"/>
      <c r="K33" s="52"/>
      <c r="L33" s="54"/>
      <c r="M33" s="55"/>
      <c r="N33" s="55"/>
      <c r="O33" s="49"/>
      <c r="P33" s="49"/>
      <c r="Q33" s="48"/>
      <c r="R33" s="48"/>
      <c r="S33" s="48"/>
    </row>
    <row r="34" ht="15.75" customHeight="1">
      <c r="A34" s="48"/>
      <c r="B34" s="49"/>
      <c r="C34" s="49"/>
      <c r="D34" s="49"/>
      <c r="E34" s="49"/>
      <c r="F34" s="49"/>
      <c r="G34" s="49"/>
      <c r="H34" s="51"/>
      <c r="I34" s="49"/>
      <c r="J34" s="52"/>
      <c r="K34" s="52"/>
      <c r="L34" s="54"/>
      <c r="M34" s="55"/>
      <c r="N34" s="55"/>
      <c r="O34" s="49"/>
      <c r="P34" s="49"/>
      <c r="Q34" s="48"/>
      <c r="R34" s="48"/>
      <c r="S34" s="48"/>
    </row>
    <row r="35" ht="15.75" customHeight="1">
      <c r="A35" s="48"/>
      <c r="B35" s="49"/>
      <c r="C35" s="49"/>
      <c r="D35" s="49"/>
      <c r="E35" s="49"/>
      <c r="F35" s="49"/>
      <c r="G35" s="49"/>
      <c r="H35" s="51"/>
      <c r="I35" s="49"/>
      <c r="J35" s="52"/>
      <c r="K35" s="52"/>
      <c r="L35" s="54"/>
      <c r="M35" s="55"/>
      <c r="N35" s="55"/>
      <c r="O35" s="49"/>
      <c r="P35" s="49"/>
      <c r="Q35" s="48"/>
      <c r="R35" s="48"/>
      <c r="S35" s="48"/>
    </row>
    <row r="36" ht="15.75" customHeight="1">
      <c r="A36" s="48"/>
      <c r="B36" s="49"/>
      <c r="C36" s="49"/>
      <c r="D36" s="49"/>
      <c r="E36" s="49"/>
      <c r="F36" s="49"/>
      <c r="G36" s="49"/>
      <c r="H36" s="51"/>
      <c r="I36" s="49"/>
      <c r="J36" s="52"/>
      <c r="K36" s="52"/>
      <c r="L36" s="54"/>
      <c r="M36" s="55"/>
      <c r="N36" s="55"/>
      <c r="O36" s="49"/>
      <c r="P36" s="49"/>
      <c r="Q36" s="48"/>
      <c r="R36" s="48"/>
      <c r="S36" s="48"/>
    </row>
    <row r="37" ht="15.75" customHeight="1">
      <c r="A37" s="56"/>
      <c r="B37" s="57"/>
      <c r="C37" s="57"/>
      <c r="D37" s="57"/>
      <c r="E37" s="57"/>
      <c r="F37" s="49"/>
      <c r="G37" s="49"/>
      <c r="H37" s="51"/>
      <c r="I37" s="49"/>
      <c r="J37" s="58"/>
      <c r="K37" s="58"/>
      <c r="L37" s="59"/>
      <c r="M37" s="61"/>
      <c r="N37" s="61"/>
      <c r="O37" s="57"/>
      <c r="P37" s="49"/>
      <c r="Q37" s="56"/>
      <c r="R37" s="56"/>
      <c r="S37" s="56"/>
    </row>
    <row r="38" ht="15.75" customHeight="1">
      <c r="A38" s="48"/>
      <c r="B38" s="49"/>
      <c r="C38" s="49"/>
      <c r="D38" s="49"/>
      <c r="E38" s="49"/>
      <c r="F38" s="49"/>
      <c r="G38" s="49"/>
      <c r="H38" s="51"/>
      <c r="I38" s="49"/>
      <c r="J38" s="52"/>
      <c r="K38" s="52"/>
      <c r="L38" s="54"/>
      <c r="M38" s="55"/>
      <c r="N38" s="55"/>
      <c r="O38" s="49"/>
      <c r="P38" s="49"/>
      <c r="Q38" s="48"/>
      <c r="R38" s="48"/>
      <c r="S38" s="48"/>
    </row>
    <row r="39" ht="15.75" customHeight="1">
      <c r="A39" s="48"/>
      <c r="B39" s="49"/>
      <c r="C39" s="49"/>
      <c r="D39" s="49"/>
      <c r="E39" s="49"/>
      <c r="F39" s="49"/>
      <c r="G39" s="49"/>
      <c r="H39" s="51"/>
      <c r="I39" s="49"/>
      <c r="J39" s="52"/>
      <c r="K39" s="52"/>
      <c r="L39" s="54"/>
      <c r="M39" s="55"/>
      <c r="N39" s="55"/>
      <c r="O39" s="49"/>
      <c r="P39" s="49"/>
      <c r="Q39" s="48"/>
      <c r="R39" s="48"/>
      <c r="S39" s="48"/>
    </row>
    <row r="40" ht="15.75" customHeight="1">
      <c r="A40" s="48"/>
      <c r="B40" s="49"/>
      <c r="C40" s="49"/>
      <c r="D40" s="49"/>
      <c r="E40" s="49"/>
      <c r="F40" s="49"/>
      <c r="G40" s="49"/>
      <c r="H40" s="51"/>
      <c r="I40" s="49"/>
      <c r="J40" s="52"/>
      <c r="K40" s="52"/>
      <c r="L40" s="54"/>
      <c r="M40" s="55"/>
      <c r="N40" s="55"/>
      <c r="O40" s="49"/>
      <c r="P40" s="49"/>
      <c r="Q40" s="48"/>
      <c r="R40" s="48"/>
      <c r="S40" s="48"/>
    </row>
    <row r="41" ht="15.75" customHeight="1">
      <c r="A41" s="48"/>
      <c r="B41" s="49"/>
      <c r="C41" s="49"/>
      <c r="D41" s="49"/>
      <c r="E41" s="49"/>
      <c r="F41" s="49"/>
      <c r="G41" s="49"/>
      <c r="H41" s="51"/>
      <c r="I41" s="49"/>
      <c r="J41" s="52"/>
      <c r="K41" s="52"/>
      <c r="L41" s="54"/>
      <c r="M41" s="55"/>
      <c r="N41" s="55"/>
      <c r="O41" s="49"/>
      <c r="P41" s="49"/>
      <c r="Q41" s="48"/>
      <c r="R41" s="48"/>
      <c r="S41" s="48"/>
    </row>
    <row r="42" ht="15.75" customHeight="1">
      <c r="A42" s="56"/>
      <c r="B42" s="57"/>
      <c r="C42" s="57"/>
      <c r="D42" s="57"/>
      <c r="E42" s="57"/>
      <c r="F42" s="49"/>
      <c r="G42" s="49"/>
      <c r="H42" s="51"/>
      <c r="I42" s="49"/>
      <c r="J42" s="58"/>
      <c r="K42" s="58"/>
      <c r="L42" s="59"/>
      <c r="M42" s="61"/>
      <c r="N42" s="61"/>
      <c r="O42" s="57"/>
      <c r="P42" s="49"/>
      <c r="Q42" s="56"/>
      <c r="R42" s="56"/>
      <c r="S42" s="56"/>
    </row>
    <row r="43" ht="15.75" customHeight="1">
      <c r="A43" s="48"/>
      <c r="B43" s="49"/>
      <c r="C43" s="49"/>
      <c r="D43" s="49"/>
      <c r="E43" s="49"/>
      <c r="F43" s="49"/>
      <c r="G43" s="49"/>
      <c r="H43" s="51"/>
      <c r="I43" s="49"/>
      <c r="J43" s="52"/>
      <c r="K43" s="52"/>
      <c r="L43" s="54"/>
      <c r="M43" s="55"/>
      <c r="N43" s="55"/>
      <c r="O43" s="49"/>
      <c r="P43" s="49"/>
      <c r="Q43" s="48"/>
      <c r="R43" s="48"/>
      <c r="S43" s="48"/>
    </row>
    <row r="44" ht="15.75" customHeight="1">
      <c r="A44" s="48"/>
      <c r="B44" s="49"/>
      <c r="C44" s="49"/>
      <c r="D44" s="49"/>
      <c r="E44" s="49"/>
      <c r="F44" s="49"/>
      <c r="G44" s="49"/>
      <c r="H44" s="51"/>
      <c r="I44" s="49"/>
      <c r="J44" s="52"/>
      <c r="K44" s="52"/>
      <c r="L44" s="54"/>
      <c r="M44" s="55"/>
      <c r="N44" s="55"/>
      <c r="O44" s="49"/>
      <c r="P44" s="49"/>
      <c r="Q44" s="48"/>
      <c r="R44" s="48"/>
      <c r="S44" s="48"/>
    </row>
    <row r="45" ht="15.75" customHeight="1">
      <c r="A45" s="48"/>
      <c r="B45" s="49"/>
      <c r="C45" s="49"/>
      <c r="D45" s="49"/>
      <c r="E45" s="49"/>
      <c r="F45" s="49"/>
      <c r="G45" s="49"/>
      <c r="H45" s="51"/>
      <c r="I45" s="49"/>
      <c r="J45" s="52"/>
      <c r="K45" s="52"/>
      <c r="L45" s="54"/>
      <c r="M45" s="55"/>
      <c r="N45" s="55"/>
      <c r="O45" s="49"/>
      <c r="P45" s="49"/>
      <c r="Q45" s="48"/>
      <c r="R45" s="48"/>
      <c r="S45" s="48"/>
    </row>
    <row r="46" ht="15.75" customHeight="1">
      <c r="A46" s="48"/>
      <c r="B46" s="49"/>
      <c r="C46" s="49"/>
      <c r="D46" s="49"/>
      <c r="E46" s="49"/>
      <c r="F46" s="49"/>
      <c r="G46" s="49"/>
      <c r="H46" s="51"/>
      <c r="I46" s="49"/>
      <c r="J46" s="52"/>
      <c r="K46" s="52"/>
      <c r="L46" s="54"/>
      <c r="M46" s="55"/>
      <c r="N46" s="55"/>
      <c r="O46" s="49"/>
      <c r="P46" s="49"/>
      <c r="Q46" s="48"/>
      <c r="R46" s="48"/>
      <c r="S46" s="48"/>
    </row>
    <row r="47" ht="15.75" customHeight="1">
      <c r="A47" s="56"/>
      <c r="B47" s="57"/>
      <c r="C47" s="57"/>
      <c r="D47" s="57"/>
      <c r="E47" s="57"/>
      <c r="F47" s="49"/>
      <c r="G47" s="49"/>
      <c r="H47" s="51"/>
      <c r="I47" s="49"/>
      <c r="J47" s="58"/>
      <c r="K47" s="58"/>
      <c r="L47" s="59"/>
      <c r="M47" s="61"/>
      <c r="N47" s="61"/>
      <c r="O47" s="57"/>
      <c r="P47" s="49"/>
      <c r="Q47" s="56"/>
      <c r="R47" s="56"/>
      <c r="S47" s="56"/>
    </row>
    <row r="48" ht="15.75" customHeight="1">
      <c r="A48" s="48"/>
      <c r="B48" s="49"/>
      <c r="C48" s="49"/>
      <c r="D48" s="49"/>
      <c r="E48" s="49"/>
      <c r="F48" s="49"/>
      <c r="G48" s="49"/>
      <c r="H48" s="51"/>
      <c r="I48" s="49"/>
      <c r="J48" s="52"/>
      <c r="K48" s="52"/>
      <c r="L48" s="54"/>
      <c r="M48" s="55"/>
      <c r="N48" s="55"/>
      <c r="O48" s="49"/>
      <c r="P48" s="49"/>
      <c r="Q48" s="48"/>
      <c r="R48" s="48"/>
      <c r="S48" s="48"/>
    </row>
    <row r="49" ht="15.75" customHeight="1">
      <c r="A49" s="48"/>
      <c r="B49" s="49"/>
      <c r="C49" s="49"/>
      <c r="D49" s="49"/>
      <c r="E49" s="49"/>
      <c r="F49" s="49"/>
      <c r="G49" s="49"/>
      <c r="H49" s="51"/>
      <c r="I49" s="49"/>
      <c r="J49" s="52"/>
      <c r="K49" s="52"/>
      <c r="L49" s="54"/>
      <c r="M49" s="55"/>
      <c r="N49" s="55"/>
      <c r="O49" s="49"/>
      <c r="P49" s="49"/>
      <c r="Q49" s="48"/>
      <c r="R49" s="48"/>
      <c r="S49" s="48"/>
    </row>
    <row r="50" ht="15.75" customHeight="1">
      <c r="A50" s="48"/>
      <c r="B50" s="49"/>
      <c r="C50" s="49"/>
      <c r="D50" s="49"/>
      <c r="E50" s="49"/>
      <c r="F50" s="49"/>
      <c r="G50" s="49"/>
      <c r="H50" s="51"/>
      <c r="I50" s="49"/>
      <c r="J50" s="52"/>
      <c r="K50" s="52"/>
      <c r="L50" s="54"/>
      <c r="M50" s="55"/>
      <c r="N50" s="55"/>
      <c r="O50" s="49"/>
      <c r="P50" s="49"/>
      <c r="Q50" s="48"/>
      <c r="R50" s="48"/>
      <c r="S50" s="48"/>
    </row>
    <row r="51" ht="15.75" customHeight="1">
      <c r="A51" s="48"/>
      <c r="B51" s="49"/>
      <c r="C51" s="49"/>
      <c r="D51" s="49"/>
      <c r="E51" s="49"/>
      <c r="F51" s="49"/>
      <c r="G51" s="49"/>
      <c r="H51" s="51"/>
      <c r="I51" s="49"/>
      <c r="J51" s="52"/>
      <c r="K51" s="52"/>
      <c r="L51" s="54"/>
      <c r="M51" s="55"/>
      <c r="N51" s="55"/>
      <c r="O51" s="49"/>
      <c r="P51" s="49"/>
      <c r="Q51" s="48"/>
      <c r="R51" s="48"/>
      <c r="S51" s="48"/>
    </row>
    <row r="52" ht="15.75" customHeight="1">
      <c r="A52" s="56"/>
      <c r="B52" s="57"/>
      <c r="C52" s="57"/>
      <c r="D52" s="57"/>
      <c r="E52" s="57"/>
      <c r="F52" s="49"/>
      <c r="G52" s="49"/>
      <c r="H52" s="51"/>
      <c r="I52" s="49"/>
      <c r="J52" s="58"/>
      <c r="K52" s="58"/>
      <c r="L52" s="59"/>
      <c r="M52" s="61"/>
      <c r="N52" s="61"/>
      <c r="O52" s="57"/>
      <c r="P52" s="49"/>
      <c r="Q52" s="56"/>
      <c r="R52" s="56"/>
      <c r="S52" s="56"/>
    </row>
    <row r="53" ht="15.75" customHeight="1">
      <c r="A53" s="48"/>
      <c r="B53" s="49"/>
      <c r="C53" s="49"/>
      <c r="D53" s="49"/>
      <c r="E53" s="49"/>
      <c r="F53" s="49"/>
      <c r="G53" s="49"/>
      <c r="H53" s="51"/>
      <c r="I53" s="49"/>
      <c r="J53" s="52"/>
      <c r="K53" s="52"/>
      <c r="L53" s="54"/>
      <c r="M53" s="55"/>
      <c r="N53" s="55"/>
      <c r="O53" s="49"/>
      <c r="P53" s="49"/>
      <c r="Q53" s="48"/>
      <c r="R53" s="48"/>
      <c r="S53" s="48"/>
    </row>
    <row r="54" ht="15.75" customHeight="1">
      <c r="A54" s="48"/>
      <c r="B54" s="49"/>
      <c r="C54" s="49"/>
      <c r="D54" s="49"/>
      <c r="E54" s="49"/>
      <c r="F54" s="49"/>
      <c r="G54" s="49"/>
      <c r="H54" s="51"/>
      <c r="I54" s="49"/>
      <c r="J54" s="52"/>
      <c r="K54" s="52"/>
      <c r="L54" s="54"/>
      <c r="M54" s="55"/>
      <c r="N54" s="55"/>
      <c r="O54" s="49"/>
      <c r="P54" s="49"/>
      <c r="Q54" s="48"/>
      <c r="R54" s="48"/>
      <c r="S54" s="48"/>
    </row>
    <row r="55" ht="15.75" customHeight="1">
      <c r="A55" s="48"/>
      <c r="B55" s="49"/>
      <c r="C55" s="49"/>
      <c r="D55" s="49"/>
      <c r="E55" s="49"/>
      <c r="F55" s="49"/>
      <c r="G55" s="49"/>
      <c r="H55" s="51"/>
      <c r="I55" s="49"/>
      <c r="J55" s="52"/>
      <c r="K55" s="52"/>
      <c r="L55" s="54"/>
      <c r="M55" s="55"/>
      <c r="N55" s="55"/>
      <c r="O55" s="49"/>
      <c r="P55" s="49"/>
      <c r="Q55" s="48"/>
      <c r="R55" s="48"/>
      <c r="S55" s="48"/>
    </row>
    <row r="56" ht="15.75" customHeight="1">
      <c r="A56" s="48"/>
      <c r="B56" s="49"/>
      <c r="C56" s="49"/>
      <c r="D56" s="49"/>
      <c r="E56" s="49"/>
      <c r="F56" s="49"/>
      <c r="G56" s="49"/>
      <c r="H56" s="51"/>
      <c r="I56" s="49"/>
      <c r="J56" s="52"/>
      <c r="K56" s="52"/>
      <c r="L56" s="54"/>
      <c r="M56" s="55"/>
      <c r="N56" s="55"/>
      <c r="O56" s="49"/>
      <c r="P56" s="49"/>
      <c r="Q56" s="48"/>
      <c r="R56" s="48"/>
      <c r="S56" s="48"/>
    </row>
    <row r="57" ht="15.75" customHeight="1">
      <c r="A57" s="56"/>
      <c r="B57" s="57"/>
      <c r="C57" s="57"/>
      <c r="D57" s="57"/>
      <c r="E57" s="57"/>
      <c r="F57" s="49"/>
      <c r="G57" s="49"/>
      <c r="H57" s="51"/>
      <c r="I57" s="49"/>
      <c r="J57" s="58"/>
      <c r="K57" s="58"/>
      <c r="L57" s="59"/>
      <c r="M57" s="61"/>
      <c r="N57" s="61"/>
      <c r="O57" s="57"/>
      <c r="P57" s="49"/>
      <c r="Q57" s="56"/>
      <c r="R57" s="56"/>
      <c r="S57" s="56"/>
    </row>
    <row r="58" ht="15.75" customHeight="1">
      <c r="A58" s="48"/>
      <c r="B58" s="49"/>
      <c r="C58" s="49"/>
      <c r="D58" s="49"/>
      <c r="E58" s="49"/>
      <c r="F58" s="49"/>
      <c r="G58" s="49"/>
      <c r="H58" s="51"/>
      <c r="I58" s="49"/>
      <c r="J58" s="52"/>
      <c r="K58" s="52"/>
      <c r="L58" s="54"/>
      <c r="M58" s="55"/>
      <c r="N58" s="55"/>
      <c r="O58" s="49"/>
      <c r="P58" s="49"/>
      <c r="Q58" s="48"/>
      <c r="R58" s="48"/>
      <c r="S58" s="48"/>
    </row>
    <row r="59" ht="15.75" customHeight="1">
      <c r="A59" s="48"/>
      <c r="B59" s="49"/>
      <c r="C59" s="49"/>
      <c r="D59" s="49"/>
      <c r="E59" s="49"/>
      <c r="F59" s="49"/>
      <c r="G59" s="49"/>
      <c r="H59" s="51"/>
      <c r="I59" s="49"/>
      <c r="J59" s="52"/>
      <c r="K59" s="52"/>
      <c r="L59" s="54"/>
      <c r="M59" s="55"/>
      <c r="N59" s="55"/>
      <c r="O59" s="49"/>
      <c r="P59" s="49"/>
      <c r="Q59" s="48"/>
      <c r="R59" s="48"/>
      <c r="S59" s="48"/>
    </row>
    <row r="60" ht="15.75" customHeight="1">
      <c r="A60" s="48"/>
      <c r="B60" s="49"/>
      <c r="C60" s="49"/>
      <c r="D60" s="49"/>
      <c r="E60" s="49"/>
      <c r="F60" s="49"/>
      <c r="G60" s="49"/>
      <c r="H60" s="51"/>
      <c r="I60" s="49"/>
      <c r="J60" s="52"/>
      <c r="K60" s="52"/>
      <c r="L60" s="54"/>
      <c r="M60" s="55"/>
      <c r="N60" s="55"/>
      <c r="O60" s="49"/>
      <c r="P60" s="49"/>
      <c r="Q60" s="48"/>
      <c r="R60" s="48"/>
      <c r="S60" s="48"/>
    </row>
    <row r="61" ht="15.75" customHeight="1">
      <c r="A61" s="48"/>
      <c r="B61" s="49"/>
      <c r="C61" s="49"/>
      <c r="D61" s="49"/>
      <c r="E61" s="49"/>
      <c r="F61" s="49"/>
      <c r="G61" s="49"/>
      <c r="H61" s="51"/>
      <c r="I61" s="49"/>
      <c r="J61" s="52"/>
      <c r="K61" s="52"/>
      <c r="L61" s="54"/>
      <c r="M61" s="55"/>
      <c r="N61" s="55"/>
      <c r="O61" s="49"/>
      <c r="P61" s="49"/>
      <c r="Q61" s="48"/>
      <c r="R61" s="48"/>
      <c r="S61" s="48"/>
    </row>
    <row r="62" ht="15.75" customHeight="1">
      <c r="A62" s="72"/>
      <c r="B62" s="73"/>
      <c r="C62" s="73"/>
      <c r="D62" s="73"/>
      <c r="E62" s="73"/>
      <c r="F62" s="49"/>
      <c r="G62" s="49"/>
      <c r="H62" s="51"/>
      <c r="I62" s="49"/>
      <c r="J62" s="74"/>
      <c r="K62" s="74"/>
      <c r="L62" s="75"/>
      <c r="M62" s="76"/>
      <c r="N62" s="76"/>
      <c r="O62" s="77"/>
      <c r="P62" s="49"/>
      <c r="Q62" s="72"/>
      <c r="R62" s="72"/>
      <c r="S62" s="72"/>
    </row>
    <row r="63" ht="15.75" customHeight="1">
      <c r="A63" s="1"/>
      <c r="B63" s="28"/>
      <c r="C63" s="28"/>
      <c r="D63" s="28"/>
      <c r="E63" s="28"/>
      <c r="F63" s="49"/>
      <c r="G63" s="49"/>
      <c r="H63" s="51"/>
      <c r="I63" s="49"/>
      <c r="J63" s="45"/>
      <c r="K63" s="45"/>
      <c r="L63" s="50"/>
      <c r="M63" s="34"/>
      <c r="N63" s="34"/>
      <c r="O63" s="28"/>
      <c r="P63" s="49"/>
      <c r="Q63" s="1"/>
      <c r="R63" s="1"/>
      <c r="S63" s="1"/>
    </row>
    <row r="64" ht="15.75" customHeight="1">
      <c r="A64" s="1"/>
      <c r="B64" s="28"/>
      <c r="C64" s="28"/>
      <c r="D64" s="28"/>
      <c r="E64" s="28"/>
      <c r="F64" s="49"/>
      <c r="G64" s="49"/>
      <c r="H64" s="51"/>
      <c r="I64" s="49"/>
      <c r="J64" s="45"/>
      <c r="K64" s="45"/>
      <c r="L64" s="50"/>
      <c r="M64" s="34"/>
      <c r="N64" s="34"/>
      <c r="O64" s="28"/>
      <c r="P64" s="49"/>
      <c r="Q64" s="1"/>
      <c r="R64" s="1"/>
      <c r="S64" s="1"/>
    </row>
    <row r="65" ht="15.75" customHeight="1">
      <c r="A65" s="1"/>
      <c r="B65" s="28"/>
      <c r="C65" s="28"/>
      <c r="D65" s="28"/>
      <c r="E65" s="28"/>
      <c r="F65" s="49"/>
      <c r="G65" s="49"/>
      <c r="H65" s="51"/>
      <c r="I65" s="49"/>
      <c r="J65" s="45"/>
      <c r="K65" s="45"/>
      <c r="L65" s="50"/>
      <c r="M65" s="34"/>
      <c r="N65" s="34"/>
      <c r="O65" s="28"/>
      <c r="P65" s="49"/>
      <c r="Q65" s="1"/>
      <c r="R65" s="1"/>
      <c r="S65" s="1"/>
    </row>
    <row r="66" ht="15.75" customHeight="1">
      <c r="A66" s="1"/>
      <c r="B66" s="28"/>
      <c r="C66" s="28"/>
      <c r="D66" s="28"/>
      <c r="E66" s="28"/>
      <c r="F66" s="49"/>
      <c r="G66" s="49"/>
      <c r="H66" s="51"/>
      <c r="I66" s="49"/>
      <c r="J66" s="45"/>
      <c r="K66" s="45"/>
      <c r="L66" s="50"/>
      <c r="M66" s="34"/>
      <c r="N66" s="34"/>
      <c r="O66" s="28"/>
      <c r="P66" s="49"/>
      <c r="Q66" s="1"/>
      <c r="R66" s="1"/>
      <c r="S66" s="1"/>
    </row>
    <row r="67" ht="15.75" customHeight="1">
      <c r="A67" s="1"/>
      <c r="B67" s="28"/>
      <c r="C67" s="28"/>
      <c r="D67" s="28"/>
      <c r="E67" s="28"/>
      <c r="F67" s="49"/>
      <c r="G67" s="49"/>
      <c r="H67" s="51"/>
      <c r="I67" s="49"/>
      <c r="J67" s="45"/>
      <c r="K67" s="45"/>
      <c r="L67" s="50"/>
      <c r="M67" s="34"/>
      <c r="N67" s="34"/>
      <c r="O67" s="28"/>
      <c r="P67" s="49"/>
      <c r="Q67" s="1"/>
      <c r="R67" s="1"/>
      <c r="S67" s="1"/>
    </row>
    <row r="68" ht="15.75" customHeight="1">
      <c r="A68" s="1"/>
      <c r="B68" s="28"/>
      <c r="C68" s="28"/>
      <c r="D68" s="28"/>
      <c r="E68" s="28"/>
      <c r="F68" s="49"/>
      <c r="G68" s="49"/>
      <c r="H68" s="51"/>
      <c r="I68" s="49"/>
      <c r="J68" s="45"/>
      <c r="K68" s="45"/>
      <c r="L68" s="50"/>
      <c r="M68" s="34"/>
      <c r="N68" s="34"/>
      <c r="O68" s="28"/>
      <c r="P68" s="49"/>
      <c r="Q68" s="1"/>
      <c r="R68" s="1"/>
      <c r="S68" s="1"/>
    </row>
    <row r="69" ht="15.75" customHeight="1">
      <c r="A69" s="1"/>
      <c r="B69" s="28"/>
      <c r="C69" s="28"/>
      <c r="D69" s="28"/>
      <c r="E69" s="28"/>
      <c r="F69" s="49"/>
      <c r="G69" s="49"/>
      <c r="H69" s="51"/>
      <c r="I69" s="49"/>
      <c r="J69" s="45"/>
      <c r="K69" s="45"/>
      <c r="L69" s="50"/>
      <c r="M69" s="34"/>
      <c r="N69" s="34"/>
      <c r="O69" s="28"/>
      <c r="P69" s="49"/>
      <c r="Q69" s="1"/>
      <c r="R69" s="1"/>
      <c r="S69" s="1"/>
    </row>
    <row r="70" ht="15.75" customHeight="1">
      <c r="A70" s="1"/>
      <c r="B70" s="28"/>
      <c r="C70" s="28"/>
      <c r="D70" s="28"/>
      <c r="E70" s="28"/>
      <c r="F70" s="49"/>
      <c r="G70" s="49"/>
      <c r="H70" s="51"/>
      <c r="I70" s="49"/>
      <c r="J70" s="45"/>
      <c r="K70" s="45"/>
      <c r="L70" s="50"/>
      <c r="M70" s="34"/>
      <c r="N70" s="34"/>
      <c r="O70" s="28"/>
      <c r="P70" s="49"/>
      <c r="Q70" s="1"/>
      <c r="R70" s="1"/>
      <c r="S70" s="1"/>
    </row>
    <row r="71" ht="15.75" customHeight="1">
      <c r="A71" s="1"/>
      <c r="B71" s="28"/>
      <c r="C71" s="28"/>
      <c r="D71" s="28"/>
      <c r="E71" s="28"/>
      <c r="F71" s="49"/>
      <c r="G71" s="49"/>
      <c r="H71" s="51"/>
      <c r="I71" s="49"/>
      <c r="J71" s="45"/>
      <c r="K71" s="45"/>
      <c r="L71" s="50"/>
      <c r="M71" s="34"/>
      <c r="N71" s="34"/>
      <c r="O71" s="28"/>
      <c r="P71" s="49"/>
      <c r="Q71" s="1"/>
      <c r="R71" s="1"/>
      <c r="S71" s="1"/>
    </row>
    <row r="72" ht="15.75" customHeight="1">
      <c r="A72" s="1"/>
      <c r="B72" s="28"/>
      <c r="C72" s="28"/>
      <c r="D72" s="28"/>
      <c r="E72" s="28"/>
      <c r="F72" s="49"/>
      <c r="G72" s="49"/>
      <c r="H72" s="51"/>
      <c r="I72" s="49"/>
      <c r="J72" s="45"/>
      <c r="K72" s="45"/>
      <c r="L72" s="50"/>
      <c r="M72" s="34"/>
      <c r="N72" s="34"/>
      <c r="O72" s="28"/>
      <c r="P72" s="49"/>
      <c r="Q72" s="1"/>
      <c r="R72" s="1"/>
      <c r="S72" s="1"/>
    </row>
    <row r="73" ht="15.75" customHeight="1">
      <c r="A73" s="1"/>
      <c r="B73" s="28"/>
      <c r="C73" s="28"/>
      <c r="D73" s="28"/>
      <c r="E73" s="28"/>
      <c r="F73" s="49"/>
      <c r="G73" s="49"/>
      <c r="H73" s="51"/>
      <c r="I73" s="49"/>
      <c r="J73" s="45"/>
      <c r="K73" s="45"/>
      <c r="L73" s="50"/>
      <c r="M73" s="34"/>
      <c r="N73" s="34"/>
      <c r="O73" s="28"/>
      <c r="P73" s="49"/>
      <c r="Q73" s="1"/>
      <c r="R73" s="1"/>
      <c r="S73" s="1"/>
    </row>
    <row r="74" ht="15.75" customHeight="1">
      <c r="A74" s="1"/>
      <c r="B74" s="28"/>
      <c r="C74" s="28"/>
      <c r="D74" s="28"/>
      <c r="E74" s="28"/>
      <c r="F74" s="49"/>
      <c r="G74" s="49"/>
      <c r="H74" s="51"/>
      <c r="I74" s="49"/>
      <c r="J74" s="45"/>
      <c r="K74" s="45"/>
      <c r="L74" s="50"/>
      <c r="M74" s="34"/>
      <c r="N74" s="34"/>
      <c r="O74" s="28"/>
      <c r="P74" s="49"/>
      <c r="Q74" s="1"/>
      <c r="R74" s="1"/>
      <c r="S74" s="1"/>
    </row>
    <row r="75" ht="15.75" customHeight="1">
      <c r="A75" s="1"/>
      <c r="B75" s="28"/>
      <c r="C75" s="28"/>
      <c r="D75" s="28"/>
      <c r="E75" s="28"/>
      <c r="F75" s="49"/>
      <c r="G75" s="49"/>
      <c r="H75" s="51"/>
      <c r="I75" s="49"/>
      <c r="J75" s="45"/>
      <c r="K75" s="45"/>
      <c r="L75" s="50"/>
      <c r="M75" s="34"/>
      <c r="N75" s="34"/>
      <c r="O75" s="28"/>
      <c r="P75" s="49"/>
      <c r="Q75" s="1"/>
      <c r="R75" s="1"/>
      <c r="S75" s="1"/>
    </row>
    <row r="76" ht="15.75" customHeight="1">
      <c r="A76" s="1"/>
      <c r="B76" s="28"/>
      <c r="C76" s="28"/>
      <c r="D76" s="28"/>
      <c r="E76" s="28"/>
      <c r="F76" s="49"/>
      <c r="G76" s="49"/>
      <c r="H76" s="51"/>
      <c r="I76" s="49"/>
      <c r="J76" s="45"/>
      <c r="K76" s="45"/>
      <c r="L76" s="50"/>
      <c r="M76" s="34"/>
      <c r="N76" s="34"/>
      <c r="O76" s="28"/>
      <c r="P76" s="49"/>
      <c r="Q76" s="1"/>
      <c r="R76" s="1"/>
      <c r="S76" s="1"/>
    </row>
    <row r="77" ht="15.75" customHeight="1">
      <c r="A77" s="1"/>
      <c r="B77" s="28"/>
      <c r="C77" s="28"/>
      <c r="D77" s="28"/>
      <c r="E77" s="28"/>
      <c r="F77" s="49"/>
      <c r="G77" s="49"/>
      <c r="H77" s="51"/>
      <c r="I77" s="49"/>
      <c r="J77" s="45"/>
      <c r="K77" s="45"/>
      <c r="L77" s="50"/>
      <c r="M77" s="34"/>
      <c r="N77" s="34"/>
      <c r="O77" s="28"/>
      <c r="P77" s="49"/>
      <c r="Q77" s="1"/>
      <c r="R77" s="1"/>
      <c r="S77" s="1"/>
    </row>
    <row r="78" ht="15.75" customHeight="1">
      <c r="A78" s="1"/>
      <c r="B78" s="28"/>
      <c r="C78" s="28"/>
      <c r="D78" s="28"/>
      <c r="E78" s="28"/>
      <c r="F78" s="49"/>
      <c r="G78" s="49"/>
      <c r="H78" s="51"/>
      <c r="I78" s="49"/>
      <c r="J78" s="45"/>
      <c r="K78" s="45"/>
      <c r="L78" s="50"/>
      <c r="M78" s="34"/>
      <c r="N78" s="34"/>
      <c r="O78" s="28"/>
      <c r="P78" s="49"/>
      <c r="Q78" s="1"/>
      <c r="R78" s="1"/>
      <c r="S78" s="1"/>
    </row>
    <row r="79" ht="15.75" customHeight="1">
      <c r="A79" s="1"/>
      <c r="B79" s="28"/>
      <c r="C79" s="28"/>
      <c r="D79" s="28"/>
      <c r="E79" s="28"/>
      <c r="F79" s="49"/>
      <c r="G79" s="49"/>
      <c r="H79" s="51"/>
      <c r="I79" s="49"/>
      <c r="J79" s="45"/>
      <c r="K79" s="45"/>
      <c r="L79" s="50"/>
      <c r="M79" s="34"/>
      <c r="N79" s="34"/>
      <c r="O79" s="28"/>
      <c r="P79" s="49"/>
      <c r="Q79" s="1"/>
      <c r="R79" s="1"/>
      <c r="S79" s="1"/>
    </row>
    <row r="80" ht="15.75" customHeight="1">
      <c r="A80" s="1"/>
      <c r="B80" s="28"/>
      <c r="C80" s="28"/>
      <c r="D80" s="28"/>
      <c r="E80" s="28"/>
      <c r="F80" s="49"/>
      <c r="G80" s="49"/>
      <c r="H80" s="51"/>
      <c r="I80" s="49"/>
      <c r="J80" s="45"/>
      <c r="K80" s="45"/>
      <c r="L80" s="50"/>
      <c r="M80" s="34"/>
      <c r="N80" s="34"/>
      <c r="O80" s="28"/>
      <c r="P80" s="49"/>
      <c r="Q80" s="1"/>
      <c r="R80" s="1"/>
      <c r="S80" s="1"/>
    </row>
    <row r="81" ht="15.75" customHeight="1">
      <c r="A81" s="1"/>
      <c r="B81" s="28"/>
      <c r="C81" s="28"/>
      <c r="D81" s="28"/>
      <c r="E81" s="28"/>
      <c r="F81" s="49"/>
      <c r="G81" s="49"/>
      <c r="H81" s="51"/>
      <c r="I81" s="49"/>
      <c r="J81" s="45"/>
      <c r="K81" s="45"/>
      <c r="L81" s="50"/>
      <c r="M81" s="34"/>
      <c r="N81" s="34"/>
      <c r="O81" s="28"/>
      <c r="P81" s="49"/>
      <c r="Q81" s="1"/>
      <c r="R81" s="1"/>
      <c r="S81" s="1"/>
    </row>
    <row r="82" ht="15.75" customHeight="1">
      <c r="A82" s="1"/>
      <c r="B82" s="28"/>
      <c r="C82" s="28"/>
      <c r="D82" s="28"/>
      <c r="E82" s="28"/>
      <c r="F82" s="49"/>
      <c r="G82" s="49"/>
      <c r="H82" s="51"/>
      <c r="I82" s="49"/>
      <c r="J82" s="45"/>
      <c r="K82" s="45"/>
      <c r="L82" s="50"/>
      <c r="M82" s="34"/>
      <c r="N82" s="34"/>
      <c r="O82" s="28"/>
      <c r="P82" s="49"/>
      <c r="Q82" s="1"/>
      <c r="R82" s="1"/>
      <c r="S82" s="1"/>
    </row>
    <row r="83" ht="15.75" customHeight="1">
      <c r="A83" s="1"/>
      <c r="B83" s="28"/>
      <c r="C83" s="28"/>
      <c r="D83" s="28"/>
      <c r="E83" s="28"/>
      <c r="F83" s="49"/>
      <c r="G83" s="49"/>
      <c r="H83" s="51"/>
      <c r="I83" s="49"/>
      <c r="J83" s="45"/>
      <c r="K83" s="45"/>
      <c r="L83" s="50"/>
      <c r="M83" s="34"/>
      <c r="N83" s="34"/>
      <c r="O83" s="28"/>
      <c r="P83" s="49"/>
      <c r="Q83" s="1"/>
      <c r="R83" s="1"/>
      <c r="S83" s="1"/>
    </row>
    <row r="84" ht="15.75" customHeight="1">
      <c r="A84" s="1"/>
      <c r="B84" s="28"/>
      <c r="C84" s="28"/>
      <c r="D84" s="28"/>
      <c r="E84" s="28"/>
      <c r="F84" s="49"/>
      <c r="G84" s="49"/>
      <c r="H84" s="51"/>
      <c r="I84" s="49"/>
      <c r="J84" s="45"/>
      <c r="K84" s="45"/>
      <c r="L84" s="50"/>
      <c r="M84" s="34"/>
      <c r="N84" s="34"/>
      <c r="O84" s="28"/>
      <c r="P84" s="49"/>
      <c r="Q84" s="1"/>
      <c r="R84" s="1"/>
      <c r="S84" s="1"/>
    </row>
    <row r="85" ht="15.75" customHeight="1">
      <c r="A85" s="1"/>
      <c r="B85" s="28"/>
      <c r="C85" s="28"/>
      <c r="D85" s="28"/>
      <c r="E85" s="28"/>
      <c r="F85" s="49"/>
      <c r="G85" s="49"/>
      <c r="H85" s="51"/>
      <c r="I85" s="49"/>
      <c r="J85" s="45"/>
      <c r="K85" s="45"/>
      <c r="L85" s="50"/>
      <c r="M85" s="34"/>
      <c r="N85" s="34"/>
      <c r="O85" s="28"/>
      <c r="P85" s="49"/>
      <c r="Q85" s="1"/>
      <c r="R85" s="1"/>
      <c r="S85" s="1"/>
    </row>
    <row r="86" ht="15.75" customHeight="1">
      <c r="A86" s="1"/>
      <c r="B86" s="28"/>
      <c r="C86" s="28"/>
      <c r="D86" s="28"/>
      <c r="E86" s="28"/>
      <c r="F86" s="49"/>
      <c r="G86" s="49"/>
      <c r="H86" s="51"/>
      <c r="I86" s="49"/>
      <c r="J86" s="45"/>
      <c r="K86" s="45"/>
      <c r="L86" s="50"/>
      <c r="M86" s="34"/>
      <c r="N86" s="34"/>
      <c r="O86" s="28"/>
      <c r="P86" s="49"/>
      <c r="Q86" s="1"/>
      <c r="R86" s="1"/>
      <c r="S86" s="1"/>
    </row>
    <row r="87" ht="15.75" customHeight="1">
      <c r="A87" s="1"/>
      <c r="B87" s="28"/>
      <c r="C87" s="28"/>
      <c r="D87" s="28"/>
      <c r="E87" s="28"/>
      <c r="F87" s="49"/>
      <c r="G87" s="49"/>
      <c r="H87" s="51"/>
      <c r="I87" s="49"/>
      <c r="J87" s="45"/>
      <c r="K87" s="45"/>
      <c r="L87" s="50"/>
      <c r="M87" s="34"/>
      <c r="N87" s="34"/>
      <c r="O87" s="28"/>
      <c r="P87" s="49"/>
      <c r="Q87" s="1"/>
      <c r="R87" s="1"/>
      <c r="S87" s="1"/>
    </row>
    <row r="88" ht="15.75" customHeight="1">
      <c r="A88" s="1"/>
      <c r="B88" s="28"/>
      <c r="C88" s="28"/>
      <c r="D88" s="28"/>
      <c r="E88" s="28"/>
      <c r="F88" s="49"/>
      <c r="G88" s="49"/>
      <c r="H88" s="51"/>
      <c r="I88" s="49"/>
      <c r="J88" s="45"/>
      <c r="K88" s="45"/>
      <c r="L88" s="50"/>
      <c r="M88" s="34"/>
      <c r="N88" s="34"/>
      <c r="O88" s="28"/>
      <c r="P88" s="49"/>
      <c r="Q88" s="1"/>
      <c r="R88" s="1"/>
      <c r="S88" s="1"/>
    </row>
    <row r="89" ht="15.75" customHeight="1">
      <c r="A89" s="1"/>
      <c r="B89" s="28"/>
      <c r="C89" s="28"/>
      <c r="D89" s="28"/>
      <c r="E89" s="28"/>
      <c r="F89" s="49"/>
      <c r="G89" s="49"/>
      <c r="H89" s="51"/>
      <c r="I89" s="49"/>
      <c r="J89" s="45"/>
      <c r="K89" s="45"/>
      <c r="L89" s="50"/>
      <c r="M89" s="34"/>
      <c r="N89" s="34"/>
      <c r="O89" s="28"/>
      <c r="P89" s="49"/>
      <c r="Q89" s="1"/>
      <c r="R89" s="1"/>
      <c r="S89" s="1"/>
    </row>
    <row r="90" ht="15.75" customHeight="1">
      <c r="A90" s="1"/>
      <c r="B90" s="28"/>
      <c r="C90" s="28"/>
      <c r="D90" s="28"/>
      <c r="E90" s="28"/>
      <c r="F90" s="28"/>
      <c r="G90" s="28"/>
      <c r="H90" s="80"/>
      <c r="I90" s="28"/>
      <c r="J90" s="45"/>
      <c r="K90" s="45"/>
      <c r="L90" s="50"/>
      <c r="M90" s="34"/>
      <c r="N90" s="34"/>
      <c r="O90" s="28"/>
      <c r="P90" s="28"/>
      <c r="Q90" s="1"/>
      <c r="R90" s="1"/>
      <c r="S90" s="1"/>
    </row>
    <row r="91" ht="15.75" customHeight="1">
      <c r="A91" s="1"/>
      <c r="B91" s="28"/>
      <c r="C91" s="28"/>
      <c r="D91" s="28"/>
      <c r="E91" s="28"/>
      <c r="F91" s="28"/>
      <c r="G91" s="28"/>
      <c r="H91" s="80"/>
      <c r="I91" s="28"/>
      <c r="J91" s="45"/>
      <c r="K91" s="45"/>
      <c r="L91" s="50"/>
      <c r="M91" s="34"/>
      <c r="N91" s="34"/>
      <c r="O91" s="28"/>
      <c r="P91" s="28"/>
      <c r="Q91" s="1"/>
      <c r="R91" s="1"/>
      <c r="S91" s="1"/>
    </row>
    <row r="92" ht="15.75" customHeight="1">
      <c r="A92" s="1"/>
      <c r="B92" s="28"/>
      <c r="C92" s="28"/>
      <c r="D92" s="28"/>
      <c r="E92" s="28"/>
      <c r="F92" s="28"/>
      <c r="G92" s="28"/>
      <c r="H92" s="80"/>
      <c r="I92" s="28"/>
      <c r="J92" s="45"/>
      <c r="K92" s="45"/>
      <c r="L92" s="50"/>
      <c r="M92" s="34"/>
      <c r="N92" s="34"/>
      <c r="O92" s="28"/>
      <c r="P92" s="28"/>
      <c r="Q92" s="1"/>
      <c r="R92" s="1"/>
      <c r="S92" s="1"/>
    </row>
    <row r="93" ht="15.75" customHeight="1">
      <c r="A93" s="1"/>
      <c r="B93" s="28"/>
      <c r="C93" s="28"/>
      <c r="D93" s="28"/>
      <c r="E93" s="28"/>
      <c r="F93" s="28"/>
      <c r="G93" s="28"/>
      <c r="H93" s="80"/>
      <c r="I93" s="28"/>
      <c r="J93" s="45"/>
      <c r="K93" s="45"/>
      <c r="L93" s="50"/>
      <c r="M93" s="34"/>
      <c r="N93" s="34"/>
      <c r="O93" s="28"/>
      <c r="P93" s="28"/>
      <c r="Q93" s="1"/>
      <c r="R93" s="1"/>
      <c r="S93" s="1"/>
    </row>
    <row r="94" ht="15.75" customHeight="1">
      <c r="A94" s="1"/>
      <c r="B94" s="28"/>
      <c r="C94" s="28"/>
      <c r="D94" s="28"/>
      <c r="E94" s="28"/>
      <c r="F94" s="28"/>
      <c r="G94" s="28"/>
      <c r="H94" s="80"/>
      <c r="I94" s="28"/>
      <c r="J94" s="45"/>
      <c r="K94" s="45"/>
      <c r="L94" s="50"/>
      <c r="M94" s="34"/>
      <c r="N94" s="34"/>
      <c r="O94" s="28"/>
      <c r="P94" s="28"/>
      <c r="Q94" s="1"/>
      <c r="R94" s="1"/>
      <c r="S94" s="1"/>
    </row>
    <row r="95" ht="15.75" customHeight="1">
      <c r="A95" s="1"/>
      <c r="B95" s="28"/>
      <c r="C95" s="28"/>
      <c r="D95" s="28"/>
      <c r="E95" s="28"/>
      <c r="F95" s="28"/>
      <c r="G95" s="28"/>
      <c r="H95" s="80"/>
      <c r="I95" s="28"/>
      <c r="J95" s="45"/>
      <c r="K95" s="45"/>
      <c r="L95" s="50"/>
      <c r="M95" s="34"/>
      <c r="N95" s="34"/>
      <c r="O95" s="28"/>
      <c r="P95" s="28"/>
      <c r="Q95" s="1"/>
      <c r="R95" s="1"/>
      <c r="S95" s="1"/>
    </row>
    <row r="96" ht="15.75" customHeight="1">
      <c r="A96" s="1"/>
      <c r="B96" s="28"/>
      <c r="C96" s="28"/>
      <c r="D96" s="28"/>
      <c r="E96" s="28"/>
      <c r="F96" s="28"/>
      <c r="G96" s="28"/>
      <c r="H96" s="80"/>
      <c r="I96" s="28"/>
      <c r="J96" s="45"/>
      <c r="K96" s="45"/>
      <c r="L96" s="50"/>
      <c r="M96" s="34"/>
      <c r="N96" s="34"/>
      <c r="O96" s="28"/>
      <c r="P96" s="28"/>
      <c r="Q96" s="1"/>
      <c r="R96" s="1"/>
      <c r="S96" s="1"/>
    </row>
    <row r="97" ht="15.75" customHeight="1">
      <c r="A97" s="1"/>
      <c r="B97" s="28"/>
      <c r="C97" s="28"/>
      <c r="D97" s="28"/>
      <c r="E97" s="28"/>
      <c r="F97" s="28"/>
      <c r="G97" s="28"/>
      <c r="H97" s="80"/>
      <c r="I97" s="28"/>
      <c r="J97" s="45"/>
      <c r="K97" s="45"/>
      <c r="L97" s="50"/>
      <c r="M97" s="34"/>
      <c r="N97" s="34"/>
      <c r="O97" s="28"/>
      <c r="P97" s="28"/>
      <c r="Q97" s="1"/>
      <c r="R97" s="1"/>
      <c r="S97" s="1"/>
    </row>
    <row r="98" ht="15.75" customHeight="1">
      <c r="A98" s="1"/>
      <c r="B98" s="28"/>
      <c r="C98" s="28"/>
      <c r="D98" s="28"/>
      <c r="E98" s="28"/>
      <c r="F98" s="28"/>
      <c r="G98" s="28"/>
      <c r="H98" s="80"/>
      <c r="I98" s="28"/>
      <c r="J98" s="45"/>
      <c r="K98" s="45"/>
      <c r="L98" s="50"/>
      <c r="M98" s="34"/>
      <c r="N98" s="34"/>
      <c r="O98" s="28"/>
      <c r="P98" s="28"/>
      <c r="Q98" s="1"/>
      <c r="R98" s="1"/>
      <c r="S98" s="1"/>
    </row>
    <row r="99" ht="15.75" customHeight="1">
      <c r="A99" s="1"/>
      <c r="B99" s="28"/>
      <c r="C99" s="28"/>
      <c r="D99" s="28"/>
      <c r="E99" s="28"/>
      <c r="F99" s="28"/>
      <c r="G99" s="28"/>
      <c r="H99" s="80"/>
      <c r="I99" s="28"/>
      <c r="J99" s="45"/>
      <c r="K99" s="45"/>
      <c r="L99" s="50"/>
      <c r="M99" s="34"/>
      <c r="N99" s="34"/>
      <c r="O99" s="28"/>
      <c r="P99" s="28"/>
      <c r="Q99" s="1"/>
      <c r="R99" s="1"/>
      <c r="S99" s="1"/>
    </row>
    <row r="100" ht="15.75" customHeight="1">
      <c r="A100" s="1"/>
      <c r="B100" s="28"/>
      <c r="C100" s="28"/>
      <c r="D100" s="28"/>
      <c r="E100" s="28"/>
      <c r="F100" s="28"/>
      <c r="G100" s="28"/>
      <c r="H100" s="80"/>
      <c r="I100" s="28"/>
      <c r="J100" s="45"/>
      <c r="K100" s="45"/>
      <c r="L100" s="50"/>
      <c r="M100" s="34"/>
      <c r="N100" s="34"/>
      <c r="O100" s="28"/>
      <c r="P100" s="28"/>
      <c r="Q100" s="1"/>
      <c r="R100" s="1"/>
      <c r="S100" s="1"/>
    </row>
    <row r="101" ht="15.75" customHeight="1">
      <c r="A101" s="1"/>
      <c r="B101" s="28"/>
      <c r="C101" s="28"/>
      <c r="D101" s="28"/>
      <c r="E101" s="28"/>
      <c r="F101" s="28"/>
      <c r="G101" s="28"/>
      <c r="H101" s="80"/>
      <c r="I101" s="28"/>
      <c r="J101" s="45"/>
      <c r="K101" s="45"/>
      <c r="L101" s="50"/>
      <c r="M101" s="34"/>
      <c r="N101" s="34"/>
      <c r="O101" s="28"/>
      <c r="P101" s="28"/>
      <c r="Q101" s="1"/>
      <c r="R101" s="1"/>
      <c r="S101" s="1"/>
    </row>
    <row r="102" ht="15.75" customHeight="1">
      <c r="A102" s="1"/>
      <c r="B102" s="28"/>
      <c r="C102" s="28"/>
      <c r="D102" s="28"/>
      <c r="E102" s="28"/>
      <c r="F102" s="28"/>
      <c r="G102" s="28"/>
      <c r="H102" s="80"/>
      <c r="I102" s="28"/>
      <c r="J102" s="45"/>
      <c r="K102" s="45"/>
      <c r="L102" s="50"/>
      <c r="M102" s="34"/>
      <c r="N102" s="34"/>
      <c r="O102" s="28"/>
      <c r="P102" s="28"/>
      <c r="Q102" s="1"/>
      <c r="R102" s="1"/>
      <c r="S102" s="1"/>
    </row>
    <row r="103" ht="15.75" customHeight="1">
      <c r="A103" s="1"/>
      <c r="B103" s="28"/>
      <c r="C103" s="28"/>
      <c r="D103" s="28"/>
      <c r="E103" s="28"/>
      <c r="F103" s="28"/>
      <c r="G103" s="28"/>
      <c r="H103" s="80"/>
      <c r="I103" s="28"/>
      <c r="J103" s="45"/>
      <c r="K103" s="45"/>
      <c r="L103" s="50"/>
      <c r="M103" s="34"/>
      <c r="N103" s="34"/>
      <c r="O103" s="28"/>
      <c r="P103" s="28"/>
      <c r="Q103" s="1"/>
      <c r="R103" s="1"/>
      <c r="S103" s="1"/>
    </row>
    <row r="104" ht="15.75" customHeight="1">
      <c r="A104" s="1"/>
      <c r="B104" s="28"/>
      <c r="C104" s="28"/>
      <c r="D104" s="28"/>
      <c r="E104" s="28"/>
      <c r="F104" s="28"/>
      <c r="G104" s="28"/>
      <c r="H104" s="80"/>
      <c r="I104" s="28"/>
      <c r="J104" s="45"/>
      <c r="K104" s="45"/>
      <c r="L104" s="50"/>
      <c r="M104" s="34"/>
      <c r="N104" s="34"/>
      <c r="O104" s="28"/>
      <c r="P104" s="28"/>
      <c r="Q104" s="1"/>
      <c r="R104" s="1"/>
      <c r="S104" s="1"/>
    </row>
    <row r="105" ht="15.75" customHeight="1">
      <c r="A105" s="1"/>
      <c r="B105" s="28"/>
      <c r="C105" s="28"/>
      <c r="D105" s="28"/>
      <c r="E105" s="28"/>
      <c r="F105" s="28"/>
      <c r="G105" s="28"/>
      <c r="H105" s="80"/>
      <c r="I105" s="28"/>
      <c r="J105" s="45"/>
      <c r="K105" s="45"/>
      <c r="L105" s="50"/>
      <c r="M105" s="34"/>
      <c r="N105" s="34"/>
      <c r="O105" s="28"/>
      <c r="P105" s="28"/>
      <c r="Q105" s="1"/>
      <c r="R105" s="1"/>
      <c r="S105" s="1"/>
    </row>
    <row r="106" ht="15.75" customHeight="1">
      <c r="A106" s="1"/>
      <c r="B106" s="28"/>
      <c r="C106" s="28"/>
      <c r="D106" s="28"/>
      <c r="E106" s="28"/>
      <c r="F106" s="28"/>
      <c r="G106" s="28"/>
      <c r="H106" s="80"/>
      <c r="I106" s="28"/>
      <c r="J106" s="45"/>
      <c r="K106" s="45"/>
      <c r="L106" s="50"/>
      <c r="M106" s="34"/>
      <c r="N106" s="34"/>
      <c r="O106" s="28"/>
      <c r="P106" s="28"/>
      <c r="Q106" s="1"/>
      <c r="R106" s="1"/>
      <c r="S106" s="1"/>
    </row>
    <row r="107" ht="15.75" customHeight="1">
      <c r="A107" s="1"/>
      <c r="B107" s="28"/>
      <c r="C107" s="28"/>
      <c r="D107" s="28"/>
      <c r="E107" s="28"/>
      <c r="F107" s="28"/>
      <c r="G107" s="28"/>
      <c r="H107" s="80"/>
      <c r="I107" s="28"/>
      <c r="J107" s="45"/>
      <c r="K107" s="45"/>
      <c r="L107" s="50"/>
      <c r="M107" s="34"/>
      <c r="N107" s="34"/>
      <c r="O107" s="28"/>
      <c r="P107" s="28"/>
      <c r="Q107" s="1"/>
      <c r="R107" s="1"/>
      <c r="S107" s="1"/>
    </row>
    <row r="108" ht="15.75" customHeight="1">
      <c r="A108" s="1"/>
      <c r="B108" s="28"/>
      <c r="C108" s="28"/>
      <c r="D108" s="28"/>
      <c r="E108" s="28"/>
      <c r="F108" s="28"/>
      <c r="G108" s="28"/>
      <c r="H108" s="80"/>
      <c r="I108" s="28"/>
      <c r="J108" s="45"/>
      <c r="K108" s="45"/>
      <c r="L108" s="50"/>
      <c r="M108" s="34"/>
      <c r="N108" s="34"/>
      <c r="O108" s="28"/>
      <c r="P108" s="28"/>
      <c r="Q108" s="1"/>
      <c r="R108" s="1"/>
      <c r="S108" s="1"/>
    </row>
    <row r="109" ht="15.75" customHeight="1">
      <c r="A109" s="1"/>
      <c r="B109" s="28"/>
      <c r="C109" s="28"/>
      <c r="D109" s="28"/>
      <c r="E109" s="28"/>
      <c r="F109" s="28"/>
      <c r="G109" s="28"/>
      <c r="H109" s="80"/>
      <c r="I109" s="28"/>
      <c r="J109" s="45"/>
      <c r="K109" s="45"/>
      <c r="L109" s="50"/>
      <c r="M109" s="34"/>
      <c r="N109" s="34"/>
      <c r="O109" s="28"/>
      <c r="P109" s="28"/>
      <c r="Q109" s="1"/>
      <c r="R109" s="1"/>
      <c r="S109" s="1"/>
    </row>
    <row r="110" ht="15.75" customHeight="1">
      <c r="A110" s="1"/>
      <c r="B110" s="28"/>
      <c r="C110" s="28"/>
      <c r="D110" s="28"/>
      <c r="E110" s="28"/>
      <c r="F110" s="28"/>
      <c r="G110" s="28"/>
      <c r="H110" s="80"/>
      <c r="I110" s="28"/>
      <c r="J110" s="45"/>
      <c r="K110" s="45"/>
      <c r="L110" s="50"/>
      <c r="M110" s="34"/>
      <c r="N110" s="34"/>
      <c r="O110" s="28"/>
      <c r="P110" s="28"/>
      <c r="Q110" s="1"/>
      <c r="R110" s="1"/>
      <c r="S110" s="1"/>
    </row>
    <row r="111" ht="15.75" customHeight="1">
      <c r="A111" s="1"/>
      <c r="B111" s="28"/>
      <c r="C111" s="28"/>
      <c r="D111" s="28"/>
      <c r="E111" s="28"/>
      <c r="F111" s="28"/>
      <c r="G111" s="28"/>
      <c r="H111" s="80"/>
      <c r="I111" s="28"/>
      <c r="J111" s="45"/>
      <c r="K111" s="45"/>
      <c r="L111" s="50"/>
      <c r="M111" s="34"/>
      <c r="N111" s="34"/>
      <c r="O111" s="28"/>
      <c r="P111" s="28"/>
      <c r="Q111" s="1"/>
      <c r="R111" s="1"/>
      <c r="S111" s="1"/>
    </row>
    <row r="112" ht="15.75" customHeight="1">
      <c r="A112" s="1"/>
      <c r="B112" s="28"/>
      <c r="C112" s="28"/>
      <c r="D112" s="28"/>
      <c r="E112" s="28"/>
      <c r="F112" s="28"/>
      <c r="G112" s="28"/>
      <c r="H112" s="80"/>
      <c r="I112" s="28"/>
      <c r="J112" s="45"/>
      <c r="K112" s="45"/>
      <c r="L112" s="50"/>
      <c r="M112" s="34"/>
      <c r="N112" s="34"/>
      <c r="O112" s="28"/>
      <c r="P112" s="28"/>
      <c r="Q112" s="1"/>
      <c r="R112" s="1"/>
      <c r="S112" s="1"/>
    </row>
    <row r="113" ht="15.75" customHeight="1">
      <c r="A113" s="1"/>
      <c r="B113" s="28"/>
      <c r="C113" s="28"/>
      <c r="D113" s="28"/>
      <c r="E113" s="28"/>
      <c r="F113" s="28"/>
      <c r="G113" s="28"/>
      <c r="H113" s="80"/>
      <c r="I113" s="28"/>
      <c r="J113" s="45"/>
      <c r="K113" s="45"/>
      <c r="L113" s="50"/>
      <c r="M113" s="34"/>
      <c r="N113" s="34"/>
      <c r="O113" s="28"/>
      <c r="P113" s="28"/>
      <c r="Q113" s="1"/>
      <c r="R113" s="1"/>
      <c r="S113" s="1"/>
    </row>
    <row r="114" ht="15.75" customHeight="1">
      <c r="A114" s="1"/>
      <c r="B114" s="28"/>
      <c r="C114" s="28"/>
      <c r="D114" s="28"/>
      <c r="E114" s="28"/>
      <c r="F114" s="28"/>
      <c r="G114" s="28"/>
      <c r="H114" s="80"/>
      <c r="I114" s="28"/>
      <c r="J114" s="45"/>
      <c r="K114" s="45"/>
      <c r="L114" s="50"/>
      <c r="M114" s="34"/>
      <c r="N114" s="34"/>
      <c r="O114" s="28"/>
      <c r="P114" s="28"/>
      <c r="Q114" s="1"/>
      <c r="R114" s="1"/>
      <c r="S114" s="1"/>
    </row>
    <row r="115" ht="15.75" customHeight="1">
      <c r="A115" s="1"/>
      <c r="B115" s="28"/>
      <c r="C115" s="28"/>
      <c r="D115" s="28"/>
      <c r="E115" s="28"/>
      <c r="F115" s="28"/>
      <c r="G115" s="28"/>
      <c r="H115" s="80"/>
      <c r="I115" s="28"/>
      <c r="J115" s="45"/>
      <c r="K115" s="45"/>
      <c r="L115" s="50"/>
      <c r="M115" s="34"/>
      <c r="N115" s="34"/>
      <c r="O115" s="28"/>
      <c r="P115" s="28"/>
      <c r="Q115" s="1"/>
      <c r="R115" s="1"/>
      <c r="S115" s="1"/>
    </row>
    <row r="116" ht="15.75" customHeight="1">
      <c r="A116" s="1"/>
      <c r="B116" s="28"/>
      <c r="C116" s="28"/>
      <c r="D116" s="28"/>
      <c r="E116" s="28"/>
      <c r="F116" s="28"/>
      <c r="G116" s="28"/>
      <c r="H116" s="80"/>
      <c r="I116" s="28"/>
      <c r="J116" s="45"/>
      <c r="K116" s="45"/>
      <c r="L116" s="50"/>
      <c r="M116" s="34"/>
      <c r="N116" s="34"/>
      <c r="O116" s="28"/>
      <c r="P116" s="28"/>
      <c r="Q116" s="1"/>
      <c r="R116" s="1"/>
      <c r="S116" s="1"/>
    </row>
    <row r="117" ht="15.75" customHeight="1">
      <c r="A117" s="1"/>
      <c r="B117" s="28"/>
      <c r="C117" s="28"/>
      <c r="D117" s="28"/>
      <c r="E117" s="28"/>
      <c r="F117" s="28"/>
      <c r="G117" s="28"/>
      <c r="H117" s="80"/>
      <c r="I117" s="28"/>
      <c r="J117" s="45"/>
      <c r="K117" s="45"/>
      <c r="L117" s="50"/>
      <c r="M117" s="34"/>
      <c r="N117" s="34"/>
      <c r="O117" s="28"/>
      <c r="P117" s="28"/>
      <c r="Q117" s="1"/>
      <c r="R117" s="1"/>
      <c r="S117" s="1"/>
    </row>
    <row r="118" ht="15.75" customHeight="1">
      <c r="A118" s="1"/>
      <c r="B118" s="28"/>
      <c r="C118" s="28"/>
      <c r="D118" s="28"/>
      <c r="E118" s="28"/>
      <c r="F118" s="28"/>
      <c r="G118" s="28"/>
      <c r="H118" s="80"/>
      <c r="I118" s="28"/>
      <c r="J118" s="45"/>
      <c r="K118" s="45"/>
      <c r="L118" s="50"/>
      <c r="M118" s="34"/>
      <c r="N118" s="34"/>
      <c r="O118" s="28"/>
      <c r="P118" s="28"/>
      <c r="Q118" s="1"/>
      <c r="R118" s="1"/>
      <c r="S118" s="1"/>
    </row>
    <row r="119" ht="15.75" customHeight="1">
      <c r="A119" s="1"/>
      <c r="B119" s="28"/>
      <c r="C119" s="28"/>
      <c r="D119" s="28"/>
      <c r="E119" s="28"/>
      <c r="F119" s="28"/>
      <c r="G119" s="28"/>
      <c r="H119" s="80"/>
      <c r="I119" s="28"/>
      <c r="J119" s="45"/>
      <c r="K119" s="45"/>
      <c r="L119" s="50"/>
      <c r="M119" s="34"/>
      <c r="N119" s="34"/>
      <c r="O119" s="28"/>
      <c r="P119" s="28"/>
      <c r="Q119" s="1"/>
      <c r="R119" s="1"/>
      <c r="S119" s="1"/>
    </row>
    <row r="120" ht="15.75" customHeight="1">
      <c r="A120" s="1"/>
      <c r="B120" s="28"/>
      <c r="C120" s="28"/>
      <c r="D120" s="28"/>
      <c r="E120" s="28"/>
      <c r="F120" s="28"/>
      <c r="G120" s="28"/>
      <c r="H120" s="80"/>
      <c r="I120" s="28"/>
      <c r="J120" s="45"/>
      <c r="K120" s="45"/>
      <c r="L120" s="50"/>
      <c r="M120" s="34"/>
      <c r="N120" s="34"/>
      <c r="O120" s="28"/>
      <c r="P120" s="28"/>
      <c r="Q120" s="1"/>
      <c r="R120" s="1"/>
      <c r="S120" s="1"/>
    </row>
    <row r="121" ht="15.75" customHeight="1">
      <c r="A121" s="1"/>
      <c r="B121" s="28"/>
      <c r="C121" s="28"/>
      <c r="D121" s="28"/>
      <c r="E121" s="28"/>
      <c r="F121" s="28"/>
      <c r="G121" s="28"/>
      <c r="H121" s="80"/>
      <c r="I121" s="28"/>
      <c r="J121" s="45"/>
      <c r="K121" s="45"/>
      <c r="L121" s="50"/>
      <c r="M121" s="34"/>
      <c r="N121" s="34"/>
      <c r="O121" s="28"/>
      <c r="P121" s="28"/>
      <c r="Q121" s="1"/>
      <c r="R121" s="1"/>
      <c r="S121" s="1"/>
    </row>
    <row r="122" ht="15.75" customHeight="1">
      <c r="A122" s="1"/>
      <c r="B122" s="28"/>
      <c r="C122" s="28"/>
      <c r="D122" s="28"/>
      <c r="E122" s="28"/>
      <c r="F122" s="28"/>
      <c r="G122" s="28"/>
      <c r="H122" s="80"/>
      <c r="I122" s="28"/>
      <c r="J122" s="45"/>
      <c r="K122" s="45"/>
      <c r="L122" s="50"/>
      <c r="M122" s="34"/>
      <c r="N122" s="34"/>
      <c r="O122" s="28"/>
      <c r="P122" s="28"/>
      <c r="Q122" s="1"/>
      <c r="R122" s="1"/>
      <c r="S122" s="1"/>
    </row>
    <row r="123" ht="15.75" customHeight="1">
      <c r="A123" s="1"/>
      <c r="B123" s="28"/>
      <c r="C123" s="28"/>
      <c r="D123" s="28"/>
      <c r="E123" s="28"/>
      <c r="F123" s="28"/>
      <c r="G123" s="28"/>
      <c r="H123" s="80"/>
      <c r="I123" s="28"/>
      <c r="J123" s="45"/>
      <c r="K123" s="45"/>
      <c r="L123" s="50"/>
      <c r="M123" s="34"/>
      <c r="N123" s="34"/>
      <c r="O123" s="28"/>
      <c r="P123" s="28"/>
      <c r="Q123" s="1"/>
      <c r="R123" s="1"/>
      <c r="S123" s="1"/>
    </row>
    <row r="124" ht="15.75" customHeight="1">
      <c r="A124" s="1"/>
      <c r="B124" s="28"/>
      <c r="C124" s="28"/>
      <c r="D124" s="28"/>
      <c r="E124" s="28"/>
      <c r="F124" s="28"/>
      <c r="G124" s="28"/>
      <c r="H124" s="80"/>
      <c r="I124" s="28"/>
      <c r="J124" s="45"/>
      <c r="K124" s="45"/>
      <c r="L124" s="50"/>
      <c r="M124" s="34"/>
      <c r="N124" s="34"/>
      <c r="O124" s="28"/>
      <c r="P124" s="28"/>
      <c r="Q124" s="1"/>
      <c r="R124" s="1"/>
      <c r="S124" s="1"/>
    </row>
    <row r="125" ht="15.75" customHeight="1">
      <c r="A125" s="1"/>
      <c r="B125" s="28"/>
      <c r="C125" s="28"/>
      <c r="D125" s="28"/>
      <c r="E125" s="28"/>
      <c r="F125" s="28"/>
      <c r="G125" s="28"/>
      <c r="H125" s="80"/>
      <c r="I125" s="28"/>
      <c r="J125" s="45"/>
      <c r="K125" s="45"/>
      <c r="L125" s="50"/>
      <c r="M125" s="34"/>
      <c r="N125" s="34"/>
      <c r="O125" s="28"/>
      <c r="P125" s="28"/>
      <c r="Q125" s="1"/>
      <c r="R125" s="1"/>
      <c r="S125" s="1"/>
    </row>
    <row r="126" ht="15.75" customHeight="1">
      <c r="A126" s="1"/>
      <c r="B126" s="28"/>
      <c r="C126" s="28"/>
      <c r="D126" s="28"/>
      <c r="E126" s="28"/>
      <c r="F126" s="28"/>
      <c r="G126" s="28"/>
      <c r="H126" s="80"/>
      <c r="I126" s="28"/>
      <c r="J126" s="45"/>
      <c r="K126" s="45"/>
      <c r="L126" s="50"/>
      <c r="M126" s="34"/>
      <c r="N126" s="34"/>
      <c r="O126" s="28"/>
      <c r="P126" s="28"/>
      <c r="Q126" s="1"/>
      <c r="R126" s="1"/>
      <c r="S126" s="1"/>
    </row>
    <row r="127" ht="15.75" customHeight="1">
      <c r="A127" s="1"/>
      <c r="B127" s="28"/>
      <c r="C127" s="28"/>
      <c r="D127" s="28"/>
      <c r="E127" s="28"/>
      <c r="F127" s="28"/>
      <c r="G127" s="28"/>
      <c r="H127" s="80"/>
      <c r="I127" s="28"/>
      <c r="J127" s="45"/>
      <c r="K127" s="45"/>
      <c r="L127" s="50"/>
      <c r="M127" s="34"/>
      <c r="N127" s="34"/>
      <c r="O127" s="28"/>
      <c r="P127" s="28"/>
      <c r="Q127" s="1"/>
      <c r="R127" s="1"/>
      <c r="S127" s="1"/>
    </row>
    <row r="128" ht="15.75" customHeight="1">
      <c r="A128" s="1"/>
      <c r="B128" s="28"/>
      <c r="C128" s="28"/>
      <c r="D128" s="28"/>
      <c r="E128" s="28"/>
      <c r="F128" s="28"/>
      <c r="G128" s="28"/>
      <c r="H128" s="80"/>
      <c r="I128" s="28"/>
      <c r="J128" s="45"/>
      <c r="K128" s="45"/>
      <c r="L128" s="50"/>
      <c r="M128" s="34"/>
      <c r="N128" s="34"/>
      <c r="O128" s="28"/>
      <c r="P128" s="28"/>
      <c r="Q128" s="1"/>
      <c r="R128" s="1"/>
      <c r="S128" s="1"/>
    </row>
    <row r="129" ht="15.75" customHeight="1">
      <c r="A129" s="1"/>
      <c r="B129" s="28"/>
      <c r="C129" s="28"/>
      <c r="D129" s="28"/>
      <c r="E129" s="28"/>
      <c r="F129" s="28"/>
      <c r="G129" s="28"/>
      <c r="H129" s="80"/>
      <c r="I129" s="28"/>
      <c r="J129" s="45"/>
      <c r="K129" s="45"/>
      <c r="L129" s="50"/>
      <c r="M129" s="34"/>
      <c r="N129" s="34"/>
      <c r="O129" s="28"/>
      <c r="P129" s="28"/>
      <c r="Q129" s="1"/>
      <c r="R129" s="1"/>
      <c r="S129" s="1"/>
    </row>
    <row r="130" ht="15.75" customHeight="1">
      <c r="A130" s="1"/>
      <c r="B130" s="28"/>
      <c r="C130" s="28"/>
      <c r="D130" s="28"/>
      <c r="E130" s="28"/>
      <c r="F130" s="28"/>
      <c r="G130" s="28"/>
      <c r="H130" s="80"/>
      <c r="I130" s="28"/>
      <c r="J130" s="45"/>
      <c r="K130" s="45"/>
      <c r="L130" s="50"/>
      <c r="M130" s="34"/>
      <c r="N130" s="34"/>
      <c r="O130" s="28"/>
      <c r="P130" s="28"/>
      <c r="Q130" s="1"/>
      <c r="R130" s="1"/>
      <c r="S130" s="1"/>
    </row>
    <row r="131" ht="15.75" customHeight="1">
      <c r="A131" s="1"/>
      <c r="B131" s="28"/>
      <c r="C131" s="28"/>
      <c r="D131" s="28"/>
      <c r="E131" s="28"/>
      <c r="F131" s="28"/>
      <c r="G131" s="28"/>
      <c r="H131" s="80"/>
      <c r="I131" s="28"/>
      <c r="J131" s="45"/>
      <c r="K131" s="45"/>
      <c r="L131" s="50"/>
      <c r="M131" s="34"/>
      <c r="N131" s="34"/>
      <c r="O131" s="28"/>
      <c r="P131" s="28"/>
      <c r="Q131" s="1"/>
      <c r="R131" s="1"/>
      <c r="S131" s="1"/>
    </row>
    <row r="132" ht="15.75" customHeight="1">
      <c r="A132" s="1"/>
      <c r="B132" s="28"/>
      <c r="C132" s="28"/>
      <c r="D132" s="28"/>
      <c r="E132" s="28"/>
      <c r="F132" s="28"/>
      <c r="G132" s="28"/>
      <c r="H132" s="80"/>
      <c r="I132" s="28"/>
      <c r="J132" s="45"/>
      <c r="K132" s="45"/>
      <c r="L132" s="50"/>
      <c r="M132" s="34"/>
      <c r="N132" s="34"/>
      <c r="O132" s="28"/>
      <c r="P132" s="28"/>
      <c r="Q132" s="1"/>
      <c r="R132" s="1"/>
      <c r="S132" s="1"/>
    </row>
    <row r="133" ht="15.75" customHeight="1">
      <c r="A133" s="1"/>
      <c r="B133" s="28"/>
      <c r="C133" s="28"/>
      <c r="D133" s="28"/>
      <c r="E133" s="28"/>
      <c r="F133" s="28"/>
      <c r="G133" s="28"/>
      <c r="H133" s="80"/>
      <c r="I133" s="28"/>
      <c r="J133" s="45"/>
      <c r="K133" s="45"/>
      <c r="L133" s="50"/>
      <c r="M133" s="34"/>
      <c r="N133" s="34"/>
      <c r="O133" s="28"/>
      <c r="P133" s="28"/>
      <c r="Q133" s="1"/>
      <c r="R133" s="1"/>
      <c r="S133" s="1"/>
    </row>
    <row r="134" ht="15.75" customHeight="1">
      <c r="A134" s="1"/>
      <c r="B134" s="28"/>
      <c r="C134" s="28"/>
      <c r="D134" s="28"/>
      <c r="E134" s="28"/>
      <c r="F134" s="28"/>
      <c r="G134" s="28"/>
      <c r="H134" s="80"/>
      <c r="I134" s="28"/>
      <c r="J134" s="45"/>
      <c r="K134" s="45"/>
      <c r="L134" s="50"/>
      <c r="M134" s="34"/>
      <c r="N134" s="34"/>
      <c r="O134" s="28"/>
      <c r="P134" s="28"/>
      <c r="Q134" s="1"/>
      <c r="R134" s="1"/>
      <c r="S134" s="1"/>
    </row>
    <row r="135" ht="15.75" customHeight="1">
      <c r="A135" s="1"/>
      <c r="B135" s="28"/>
      <c r="C135" s="28"/>
      <c r="D135" s="28"/>
      <c r="E135" s="28"/>
      <c r="F135" s="28"/>
      <c r="G135" s="28"/>
      <c r="H135" s="80"/>
      <c r="I135" s="28"/>
      <c r="J135" s="45"/>
      <c r="K135" s="45"/>
      <c r="L135" s="50"/>
      <c r="M135" s="34"/>
      <c r="N135" s="34"/>
      <c r="O135" s="28"/>
      <c r="P135" s="28"/>
      <c r="Q135" s="1"/>
      <c r="R135" s="1"/>
      <c r="S135" s="1"/>
    </row>
    <row r="136" ht="15.75" customHeight="1">
      <c r="A136" s="1"/>
      <c r="B136" s="28"/>
      <c r="C136" s="28"/>
      <c r="D136" s="28"/>
      <c r="E136" s="28"/>
      <c r="F136" s="28"/>
      <c r="G136" s="28"/>
      <c r="H136" s="80"/>
      <c r="I136" s="28"/>
      <c r="J136" s="45"/>
      <c r="K136" s="45"/>
      <c r="L136" s="50"/>
      <c r="M136" s="34"/>
      <c r="N136" s="34"/>
      <c r="O136" s="28"/>
      <c r="P136" s="28"/>
      <c r="Q136" s="1"/>
      <c r="R136" s="1"/>
      <c r="S136" s="1"/>
    </row>
    <row r="137" ht="15.75" customHeight="1">
      <c r="A137" s="1"/>
      <c r="B137" s="28"/>
      <c r="C137" s="28"/>
      <c r="D137" s="28"/>
      <c r="E137" s="28"/>
      <c r="F137" s="28"/>
      <c r="G137" s="28"/>
      <c r="H137" s="80"/>
      <c r="I137" s="28"/>
      <c r="J137" s="45"/>
      <c r="K137" s="45"/>
      <c r="L137" s="50"/>
      <c r="M137" s="34"/>
      <c r="N137" s="34"/>
      <c r="O137" s="28"/>
      <c r="P137" s="28"/>
      <c r="Q137" s="1"/>
      <c r="R137" s="1"/>
      <c r="S137" s="1"/>
    </row>
    <row r="138" ht="15.75" customHeight="1">
      <c r="A138" s="1"/>
      <c r="B138" s="28"/>
      <c r="C138" s="28"/>
      <c r="D138" s="28"/>
      <c r="E138" s="28"/>
      <c r="F138" s="28"/>
      <c r="G138" s="28"/>
      <c r="H138" s="80"/>
      <c r="I138" s="28"/>
      <c r="J138" s="45"/>
      <c r="K138" s="45"/>
      <c r="L138" s="50"/>
      <c r="M138" s="34"/>
      <c r="N138" s="34"/>
      <c r="O138" s="28"/>
      <c r="P138" s="28"/>
      <c r="Q138" s="1"/>
      <c r="R138" s="1"/>
      <c r="S138" s="1"/>
    </row>
    <row r="139" ht="15.75" customHeight="1">
      <c r="A139" s="1"/>
      <c r="B139" s="28"/>
      <c r="C139" s="28"/>
      <c r="D139" s="28"/>
      <c r="E139" s="28"/>
      <c r="F139" s="28"/>
      <c r="G139" s="28"/>
      <c r="H139" s="80"/>
      <c r="I139" s="28"/>
      <c r="J139" s="45"/>
      <c r="K139" s="45"/>
      <c r="L139" s="50"/>
      <c r="M139" s="34"/>
      <c r="N139" s="34"/>
      <c r="O139" s="28"/>
      <c r="P139" s="28"/>
      <c r="Q139" s="1"/>
      <c r="R139" s="1"/>
      <c r="S139" s="1"/>
    </row>
    <row r="140" ht="15.75" customHeight="1">
      <c r="A140" s="1"/>
      <c r="B140" s="28"/>
      <c r="C140" s="28"/>
      <c r="D140" s="28"/>
      <c r="E140" s="28"/>
      <c r="F140" s="28"/>
      <c r="G140" s="28"/>
      <c r="H140" s="80"/>
      <c r="I140" s="28"/>
      <c r="J140" s="45"/>
      <c r="K140" s="45"/>
      <c r="L140" s="50"/>
      <c r="M140" s="34"/>
      <c r="N140" s="34"/>
      <c r="O140" s="28"/>
      <c r="P140" s="28"/>
      <c r="Q140" s="1"/>
      <c r="R140" s="1"/>
      <c r="S140" s="1"/>
    </row>
    <row r="141" ht="15.75" customHeight="1">
      <c r="A141" s="1"/>
      <c r="B141" s="28"/>
      <c r="C141" s="28"/>
      <c r="D141" s="28"/>
      <c r="E141" s="28"/>
      <c r="F141" s="28"/>
      <c r="G141" s="28"/>
      <c r="H141" s="80"/>
      <c r="I141" s="28"/>
      <c r="J141" s="45"/>
      <c r="K141" s="45"/>
      <c r="L141" s="50"/>
      <c r="M141" s="34"/>
      <c r="N141" s="34"/>
      <c r="O141" s="28"/>
      <c r="P141" s="28"/>
      <c r="Q141" s="1"/>
      <c r="R141" s="1"/>
      <c r="S141" s="1"/>
    </row>
    <row r="142" ht="15.75" customHeight="1">
      <c r="A142" s="1"/>
      <c r="B142" s="28"/>
      <c r="C142" s="28"/>
      <c r="D142" s="28"/>
      <c r="E142" s="28"/>
      <c r="F142" s="28"/>
      <c r="G142" s="28"/>
      <c r="H142" s="80"/>
      <c r="I142" s="28"/>
      <c r="J142" s="45"/>
      <c r="K142" s="45"/>
      <c r="L142" s="50"/>
      <c r="M142" s="34"/>
      <c r="N142" s="34"/>
      <c r="O142" s="28"/>
      <c r="P142" s="28"/>
      <c r="Q142" s="1"/>
      <c r="R142" s="1"/>
      <c r="S142" s="1"/>
    </row>
    <row r="143" ht="15.75" customHeight="1">
      <c r="A143" s="1"/>
      <c r="B143" s="28"/>
      <c r="C143" s="28"/>
      <c r="D143" s="28"/>
      <c r="E143" s="28"/>
      <c r="F143" s="28"/>
      <c r="G143" s="28"/>
      <c r="H143" s="80"/>
      <c r="I143" s="28"/>
      <c r="J143" s="45"/>
      <c r="K143" s="45"/>
      <c r="L143" s="50"/>
      <c r="M143" s="34"/>
      <c r="N143" s="34"/>
      <c r="O143" s="28"/>
      <c r="P143" s="28"/>
      <c r="Q143" s="1"/>
      <c r="R143" s="1"/>
      <c r="S143" s="1"/>
    </row>
    <row r="144" ht="15.75" customHeight="1">
      <c r="A144" s="1"/>
      <c r="B144" s="28"/>
      <c r="C144" s="28"/>
      <c r="D144" s="28"/>
      <c r="E144" s="28"/>
      <c r="F144" s="28"/>
      <c r="G144" s="28"/>
      <c r="H144" s="80"/>
      <c r="I144" s="28"/>
      <c r="J144" s="45"/>
      <c r="K144" s="45"/>
      <c r="L144" s="50"/>
      <c r="M144" s="34"/>
      <c r="N144" s="34"/>
      <c r="O144" s="28"/>
      <c r="P144" s="28"/>
      <c r="Q144" s="1"/>
      <c r="R144" s="1"/>
      <c r="S144" s="1"/>
    </row>
    <row r="145" ht="15.75" customHeight="1">
      <c r="A145" s="1"/>
      <c r="B145" s="28"/>
      <c r="C145" s="28"/>
      <c r="D145" s="28"/>
      <c r="E145" s="28"/>
      <c r="F145" s="28"/>
      <c r="G145" s="28"/>
      <c r="H145" s="80"/>
      <c r="I145" s="28"/>
      <c r="J145" s="45"/>
      <c r="K145" s="45"/>
      <c r="L145" s="50"/>
      <c r="M145" s="34"/>
      <c r="N145" s="34"/>
      <c r="O145" s="28"/>
      <c r="P145" s="28"/>
      <c r="Q145" s="1"/>
      <c r="R145" s="1"/>
      <c r="S145" s="1"/>
    </row>
    <row r="146" ht="15.75" customHeight="1">
      <c r="A146" s="1"/>
      <c r="B146" s="28"/>
      <c r="C146" s="28"/>
      <c r="D146" s="28"/>
      <c r="E146" s="28"/>
      <c r="F146" s="28"/>
      <c r="G146" s="28"/>
      <c r="H146" s="80"/>
      <c r="I146" s="28"/>
      <c r="J146" s="45"/>
      <c r="K146" s="45"/>
      <c r="L146" s="50"/>
      <c r="M146" s="34"/>
      <c r="N146" s="34"/>
      <c r="O146" s="28"/>
      <c r="P146" s="28"/>
      <c r="Q146" s="1"/>
      <c r="R146" s="1"/>
      <c r="S146" s="1"/>
    </row>
    <row r="147" ht="15.75" customHeight="1">
      <c r="A147" s="1"/>
      <c r="B147" s="28"/>
      <c r="C147" s="28"/>
      <c r="D147" s="28"/>
      <c r="E147" s="28"/>
      <c r="F147" s="28"/>
      <c r="G147" s="28"/>
      <c r="H147" s="80"/>
      <c r="I147" s="28"/>
      <c r="J147" s="45"/>
      <c r="K147" s="45"/>
      <c r="L147" s="50"/>
      <c r="M147" s="34"/>
      <c r="N147" s="34"/>
      <c r="O147" s="28"/>
      <c r="P147" s="28"/>
      <c r="Q147" s="1"/>
      <c r="R147" s="1"/>
      <c r="S147" s="1"/>
    </row>
    <row r="148" ht="15.75" customHeight="1">
      <c r="A148" s="1"/>
      <c r="B148" s="28"/>
      <c r="C148" s="28"/>
      <c r="D148" s="28"/>
      <c r="E148" s="28"/>
      <c r="F148" s="28"/>
      <c r="G148" s="28"/>
      <c r="H148" s="80"/>
      <c r="I148" s="28"/>
      <c r="J148" s="45"/>
      <c r="K148" s="45"/>
      <c r="L148" s="50"/>
      <c r="M148" s="34"/>
      <c r="N148" s="34"/>
      <c r="O148" s="28"/>
      <c r="P148" s="28"/>
      <c r="Q148" s="1"/>
      <c r="R148" s="1"/>
      <c r="S148" s="1"/>
    </row>
    <row r="149" ht="15.75" customHeight="1">
      <c r="A149" s="1"/>
      <c r="B149" s="28"/>
      <c r="C149" s="28"/>
      <c r="D149" s="28"/>
      <c r="E149" s="28"/>
      <c r="F149" s="28"/>
      <c r="G149" s="28"/>
      <c r="H149" s="80"/>
      <c r="I149" s="28"/>
      <c r="J149" s="45"/>
      <c r="K149" s="45"/>
      <c r="L149" s="50"/>
      <c r="M149" s="34"/>
      <c r="N149" s="34"/>
      <c r="O149" s="28"/>
      <c r="P149" s="28"/>
      <c r="Q149" s="1"/>
      <c r="R149" s="1"/>
      <c r="S149" s="1"/>
    </row>
    <row r="150" ht="15.75" customHeight="1">
      <c r="A150" s="1"/>
      <c r="B150" s="28"/>
      <c r="C150" s="28"/>
      <c r="D150" s="28"/>
      <c r="E150" s="28"/>
      <c r="F150" s="28"/>
      <c r="G150" s="28"/>
      <c r="H150" s="80"/>
      <c r="I150" s="28"/>
      <c r="J150" s="45"/>
      <c r="K150" s="45"/>
      <c r="L150" s="50"/>
      <c r="M150" s="34"/>
      <c r="N150" s="34"/>
      <c r="O150" s="28"/>
      <c r="P150" s="28"/>
      <c r="Q150" s="1"/>
      <c r="R150" s="1"/>
      <c r="S150" s="1"/>
    </row>
    <row r="151" ht="15.75" customHeight="1">
      <c r="A151" s="1"/>
      <c r="B151" s="28"/>
      <c r="C151" s="28"/>
      <c r="D151" s="28"/>
      <c r="E151" s="28"/>
      <c r="F151" s="28"/>
      <c r="G151" s="28"/>
      <c r="H151" s="80"/>
      <c r="I151" s="28"/>
      <c r="J151" s="45"/>
      <c r="K151" s="45"/>
      <c r="L151" s="50"/>
      <c r="M151" s="34"/>
      <c r="N151" s="34"/>
      <c r="O151" s="28"/>
      <c r="P151" s="28"/>
      <c r="Q151" s="1"/>
      <c r="R151" s="1"/>
      <c r="S151" s="1"/>
    </row>
    <row r="152" ht="15.75" customHeight="1">
      <c r="A152" s="1"/>
      <c r="B152" s="28"/>
      <c r="C152" s="28"/>
      <c r="D152" s="28"/>
      <c r="E152" s="28"/>
      <c r="F152" s="28"/>
      <c r="G152" s="28"/>
      <c r="H152" s="80"/>
      <c r="I152" s="28"/>
      <c r="J152" s="45"/>
      <c r="K152" s="45"/>
      <c r="L152" s="50"/>
      <c r="M152" s="34"/>
      <c r="N152" s="34"/>
      <c r="O152" s="28"/>
      <c r="P152" s="28"/>
      <c r="Q152" s="1"/>
      <c r="R152" s="1"/>
      <c r="S152" s="1"/>
    </row>
    <row r="153" ht="15.75" customHeight="1">
      <c r="A153" s="1"/>
      <c r="B153" s="28"/>
      <c r="C153" s="28"/>
      <c r="D153" s="28"/>
      <c r="E153" s="28"/>
      <c r="F153" s="28"/>
      <c r="G153" s="28"/>
      <c r="H153" s="80"/>
      <c r="I153" s="28"/>
      <c r="J153" s="45"/>
      <c r="K153" s="45"/>
      <c r="L153" s="50"/>
      <c r="M153" s="34"/>
      <c r="N153" s="34"/>
      <c r="O153" s="28"/>
      <c r="P153" s="28"/>
      <c r="Q153" s="1"/>
      <c r="R153" s="1"/>
      <c r="S153" s="1"/>
    </row>
    <row r="154" ht="15.75" customHeight="1">
      <c r="A154" s="1"/>
      <c r="B154" s="28"/>
      <c r="C154" s="28"/>
      <c r="D154" s="28"/>
      <c r="E154" s="28"/>
      <c r="F154" s="28"/>
      <c r="G154" s="28"/>
      <c r="H154" s="80"/>
      <c r="I154" s="28"/>
      <c r="J154" s="45"/>
      <c r="K154" s="45"/>
      <c r="L154" s="50"/>
      <c r="M154" s="34"/>
      <c r="N154" s="34"/>
      <c r="O154" s="28"/>
      <c r="P154" s="28"/>
      <c r="Q154" s="1"/>
      <c r="R154" s="1"/>
      <c r="S154" s="1"/>
    </row>
    <row r="155" ht="15.75" customHeight="1">
      <c r="A155" s="1"/>
      <c r="B155" s="28"/>
      <c r="C155" s="28"/>
      <c r="D155" s="28"/>
      <c r="E155" s="28"/>
      <c r="F155" s="28"/>
      <c r="G155" s="28"/>
      <c r="H155" s="80"/>
      <c r="I155" s="28"/>
      <c r="J155" s="45"/>
      <c r="K155" s="45"/>
      <c r="L155" s="50"/>
      <c r="M155" s="34"/>
      <c r="N155" s="34"/>
      <c r="O155" s="28"/>
      <c r="P155" s="28"/>
      <c r="Q155" s="1"/>
      <c r="R155" s="1"/>
      <c r="S155" s="1"/>
    </row>
    <row r="156" ht="15.75" customHeight="1">
      <c r="A156" s="1"/>
      <c r="B156" s="28"/>
      <c r="C156" s="28"/>
      <c r="D156" s="28"/>
      <c r="E156" s="28"/>
      <c r="F156" s="28"/>
      <c r="G156" s="28"/>
      <c r="H156" s="80"/>
      <c r="I156" s="28"/>
      <c r="J156" s="45"/>
      <c r="K156" s="45"/>
      <c r="L156" s="50"/>
      <c r="M156" s="34"/>
      <c r="N156" s="34"/>
      <c r="O156" s="28"/>
      <c r="P156" s="28"/>
      <c r="Q156" s="1"/>
      <c r="R156" s="1"/>
      <c r="S156" s="1"/>
    </row>
    <row r="157" ht="15.75" customHeight="1">
      <c r="A157" s="1"/>
      <c r="B157" s="28"/>
      <c r="C157" s="28"/>
      <c r="D157" s="28"/>
      <c r="E157" s="28"/>
      <c r="F157" s="28"/>
      <c r="G157" s="28"/>
      <c r="H157" s="80"/>
      <c r="I157" s="28"/>
      <c r="J157" s="45"/>
      <c r="K157" s="45"/>
      <c r="L157" s="50"/>
      <c r="M157" s="34"/>
      <c r="N157" s="34"/>
      <c r="O157" s="28"/>
      <c r="P157" s="28"/>
      <c r="Q157" s="1"/>
      <c r="R157" s="1"/>
      <c r="S157" s="1"/>
    </row>
    <row r="158" ht="15.75" customHeight="1">
      <c r="A158" s="1"/>
      <c r="B158" s="28"/>
      <c r="C158" s="28"/>
      <c r="D158" s="28"/>
      <c r="E158" s="28"/>
      <c r="F158" s="28"/>
      <c r="G158" s="28"/>
      <c r="H158" s="80"/>
      <c r="I158" s="28"/>
      <c r="J158" s="45"/>
      <c r="K158" s="45"/>
      <c r="L158" s="50"/>
      <c r="M158" s="34"/>
      <c r="N158" s="34"/>
      <c r="O158" s="28"/>
      <c r="P158" s="28"/>
      <c r="Q158" s="1"/>
      <c r="R158" s="1"/>
      <c r="S158" s="1"/>
    </row>
    <row r="159" ht="15.75" customHeight="1">
      <c r="A159" s="1"/>
      <c r="B159" s="28"/>
      <c r="C159" s="28"/>
      <c r="D159" s="28"/>
      <c r="E159" s="28"/>
      <c r="F159" s="28"/>
      <c r="G159" s="28"/>
      <c r="H159" s="80"/>
      <c r="I159" s="28"/>
      <c r="J159" s="45"/>
      <c r="K159" s="45"/>
      <c r="L159" s="50"/>
      <c r="M159" s="34"/>
      <c r="N159" s="34"/>
      <c r="O159" s="28"/>
      <c r="P159" s="28"/>
      <c r="Q159" s="1"/>
      <c r="R159" s="1"/>
      <c r="S159" s="1"/>
    </row>
    <row r="160" ht="15.75" customHeight="1">
      <c r="A160" s="1"/>
      <c r="B160" s="28"/>
      <c r="C160" s="28"/>
      <c r="D160" s="28"/>
      <c r="E160" s="28"/>
      <c r="F160" s="28"/>
      <c r="G160" s="28"/>
      <c r="H160" s="80"/>
      <c r="I160" s="28"/>
      <c r="J160" s="45"/>
      <c r="K160" s="45"/>
      <c r="L160" s="50"/>
      <c r="M160" s="34"/>
      <c r="N160" s="34"/>
      <c r="O160" s="28"/>
      <c r="P160" s="28"/>
      <c r="Q160" s="1"/>
      <c r="R160" s="1"/>
      <c r="S160" s="1"/>
    </row>
    <row r="161" ht="15.75" customHeight="1">
      <c r="A161" s="1"/>
      <c r="B161" s="28"/>
      <c r="C161" s="28"/>
      <c r="D161" s="28"/>
      <c r="E161" s="28"/>
      <c r="F161" s="28"/>
      <c r="G161" s="28"/>
      <c r="H161" s="80"/>
      <c r="I161" s="28"/>
      <c r="J161" s="45"/>
      <c r="K161" s="45"/>
      <c r="L161" s="50"/>
      <c r="M161" s="34"/>
      <c r="N161" s="34"/>
      <c r="O161" s="28"/>
      <c r="P161" s="28"/>
      <c r="Q161" s="1"/>
      <c r="R161" s="1"/>
      <c r="S161" s="1"/>
    </row>
    <row r="162" ht="15.75" customHeight="1">
      <c r="A162" s="1"/>
      <c r="B162" s="28"/>
      <c r="C162" s="28"/>
      <c r="D162" s="28"/>
      <c r="E162" s="28"/>
      <c r="F162" s="28"/>
      <c r="G162" s="28"/>
      <c r="H162" s="80"/>
      <c r="I162" s="28"/>
      <c r="J162" s="45"/>
      <c r="K162" s="45"/>
      <c r="L162" s="50"/>
      <c r="M162" s="34"/>
      <c r="N162" s="34"/>
      <c r="O162" s="28"/>
      <c r="P162" s="28"/>
      <c r="Q162" s="1"/>
      <c r="R162" s="1"/>
      <c r="S162" s="1"/>
    </row>
    <row r="163" ht="15.75" customHeight="1">
      <c r="A163" s="1"/>
      <c r="B163" s="28"/>
      <c r="C163" s="28"/>
      <c r="D163" s="28"/>
      <c r="E163" s="28"/>
      <c r="F163" s="28"/>
      <c r="G163" s="28"/>
      <c r="H163" s="80"/>
      <c r="I163" s="28"/>
      <c r="J163" s="45"/>
      <c r="K163" s="45"/>
      <c r="L163" s="50"/>
      <c r="M163" s="34"/>
      <c r="N163" s="34"/>
      <c r="O163" s="28"/>
      <c r="P163" s="28"/>
      <c r="Q163" s="1"/>
      <c r="R163" s="1"/>
      <c r="S163" s="1"/>
    </row>
    <row r="164" ht="15.75" customHeight="1">
      <c r="A164" s="1"/>
      <c r="B164" s="28"/>
      <c r="C164" s="28"/>
      <c r="D164" s="28"/>
      <c r="E164" s="28"/>
      <c r="F164" s="28"/>
      <c r="G164" s="28"/>
      <c r="H164" s="80"/>
      <c r="I164" s="28"/>
      <c r="J164" s="45"/>
      <c r="K164" s="45"/>
      <c r="L164" s="50"/>
      <c r="M164" s="34"/>
      <c r="N164" s="34"/>
      <c r="O164" s="28"/>
      <c r="P164" s="28"/>
      <c r="Q164" s="1"/>
      <c r="R164" s="1"/>
      <c r="S164" s="1"/>
    </row>
    <row r="165" ht="15.75" customHeight="1">
      <c r="A165" s="1"/>
      <c r="B165" s="28"/>
      <c r="C165" s="28"/>
      <c r="D165" s="28"/>
      <c r="E165" s="28"/>
      <c r="F165" s="28"/>
      <c r="G165" s="28"/>
      <c r="H165" s="80"/>
      <c r="I165" s="28"/>
      <c r="J165" s="45"/>
      <c r="K165" s="45"/>
      <c r="L165" s="50"/>
      <c r="M165" s="34"/>
      <c r="N165" s="34"/>
      <c r="O165" s="28"/>
      <c r="P165" s="28"/>
      <c r="Q165" s="1"/>
      <c r="R165" s="1"/>
      <c r="S165" s="1"/>
    </row>
    <row r="166" ht="15.75" customHeight="1">
      <c r="A166" s="1"/>
      <c r="B166" s="28"/>
      <c r="C166" s="28"/>
      <c r="D166" s="28"/>
      <c r="E166" s="28"/>
      <c r="F166" s="28"/>
      <c r="G166" s="28"/>
      <c r="H166" s="80"/>
      <c r="I166" s="28"/>
      <c r="J166" s="45"/>
      <c r="K166" s="45"/>
      <c r="L166" s="50"/>
      <c r="M166" s="34"/>
      <c r="N166" s="34"/>
      <c r="O166" s="28"/>
      <c r="P166" s="28"/>
      <c r="Q166" s="1"/>
      <c r="R166" s="1"/>
      <c r="S166" s="1"/>
    </row>
    <row r="167" ht="15.75" customHeight="1">
      <c r="A167" s="1"/>
      <c r="B167" s="28"/>
      <c r="C167" s="28"/>
      <c r="D167" s="28"/>
      <c r="E167" s="28"/>
      <c r="F167" s="28"/>
      <c r="G167" s="28"/>
      <c r="H167" s="80"/>
      <c r="I167" s="28"/>
      <c r="J167" s="45"/>
      <c r="K167" s="45"/>
      <c r="L167" s="50"/>
      <c r="M167" s="34"/>
      <c r="N167" s="34"/>
      <c r="O167" s="28"/>
      <c r="P167" s="28"/>
      <c r="Q167" s="1"/>
      <c r="R167" s="1"/>
      <c r="S167" s="1"/>
    </row>
    <row r="168" ht="15.75" customHeight="1">
      <c r="A168" s="1"/>
      <c r="B168" s="28"/>
      <c r="C168" s="28"/>
      <c r="D168" s="28"/>
      <c r="E168" s="28"/>
      <c r="F168" s="28"/>
      <c r="G168" s="28"/>
      <c r="H168" s="80"/>
      <c r="I168" s="28"/>
      <c r="J168" s="45"/>
      <c r="K168" s="45"/>
      <c r="L168" s="50"/>
      <c r="M168" s="34"/>
      <c r="N168" s="34"/>
      <c r="O168" s="28"/>
      <c r="P168" s="28"/>
      <c r="Q168" s="1"/>
      <c r="R168" s="1"/>
      <c r="S168" s="1"/>
    </row>
    <row r="169" ht="15.75" customHeight="1">
      <c r="A169" s="1"/>
      <c r="B169" s="28"/>
      <c r="C169" s="28"/>
      <c r="D169" s="28"/>
      <c r="E169" s="28"/>
      <c r="F169" s="28"/>
      <c r="G169" s="28"/>
      <c r="H169" s="80"/>
      <c r="I169" s="28"/>
      <c r="J169" s="45"/>
      <c r="K169" s="45"/>
      <c r="L169" s="50"/>
      <c r="M169" s="34"/>
      <c r="N169" s="34"/>
      <c r="O169" s="28"/>
      <c r="P169" s="28"/>
      <c r="Q169" s="1"/>
      <c r="R169" s="1"/>
      <c r="S169" s="1"/>
    </row>
    <row r="170" ht="15.75" customHeight="1">
      <c r="A170" s="1"/>
      <c r="B170" s="28"/>
      <c r="C170" s="28"/>
      <c r="D170" s="28"/>
      <c r="E170" s="28"/>
      <c r="F170" s="28"/>
      <c r="G170" s="28"/>
      <c r="H170" s="80"/>
      <c r="I170" s="28"/>
      <c r="J170" s="45"/>
      <c r="K170" s="45"/>
      <c r="L170" s="50"/>
      <c r="M170" s="34"/>
      <c r="N170" s="34"/>
      <c r="O170" s="28"/>
      <c r="P170" s="28"/>
      <c r="Q170" s="1"/>
      <c r="R170" s="1"/>
      <c r="S170" s="1"/>
    </row>
    <row r="171" ht="15.75" customHeight="1">
      <c r="A171" s="1"/>
      <c r="B171" s="28"/>
      <c r="C171" s="28"/>
      <c r="D171" s="28"/>
      <c r="E171" s="28"/>
      <c r="F171" s="28"/>
      <c r="G171" s="28"/>
      <c r="H171" s="80"/>
      <c r="I171" s="28"/>
      <c r="J171" s="45"/>
      <c r="K171" s="45"/>
      <c r="L171" s="50"/>
      <c r="M171" s="34"/>
      <c r="N171" s="34"/>
      <c r="O171" s="28"/>
      <c r="P171" s="28"/>
      <c r="Q171" s="1"/>
      <c r="R171" s="1"/>
      <c r="S171" s="1"/>
    </row>
    <row r="172" ht="15.75" customHeight="1">
      <c r="A172" s="1"/>
      <c r="B172" s="28"/>
      <c r="C172" s="28"/>
      <c r="D172" s="28"/>
      <c r="E172" s="28"/>
      <c r="F172" s="28"/>
      <c r="G172" s="28"/>
      <c r="H172" s="80"/>
      <c r="I172" s="28"/>
      <c r="J172" s="45"/>
      <c r="K172" s="45"/>
      <c r="L172" s="50"/>
      <c r="M172" s="34"/>
      <c r="N172" s="34"/>
      <c r="O172" s="28"/>
      <c r="P172" s="28"/>
      <c r="Q172" s="1"/>
      <c r="R172" s="1"/>
      <c r="S172" s="1"/>
    </row>
    <row r="173" ht="15.75" customHeight="1">
      <c r="A173" s="1"/>
      <c r="B173" s="28"/>
      <c r="C173" s="28"/>
      <c r="D173" s="28"/>
      <c r="E173" s="28"/>
      <c r="F173" s="28"/>
      <c r="G173" s="28"/>
      <c r="H173" s="80"/>
      <c r="I173" s="28"/>
      <c r="J173" s="45"/>
      <c r="K173" s="45"/>
      <c r="L173" s="50"/>
      <c r="M173" s="34"/>
      <c r="N173" s="34"/>
      <c r="O173" s="28"/>
      <c r="P173" s="28"/>
      <c r="Q173" s="1"/>
      <c r="R173" s="1"/>
      <c r="S173" s="1"/>
    </row>
    <row r="174" ht="15.75" customHeight="1">
      <c r="A174" s="1"/>
      <c r="B174" s="28"/>
      <c r="C174" s="28"/>
      <c r="D174" s="28"/>
      <c r="E174" s="28"/>
      <c r="F174" s="28"/>
      <c r="G174" s="28"/>
      <c r="H174" s="80"/>
      <c r="I174" s="28"/>
      <c r="J174" s="45"/>
      <c r="K174" s="45"/>
      <c r="L174" s="50"/>
      <c r="M174" s="34"/>
      <c r="N174" s="34"/>
      <c r="O174" s="28"/>
      <c r="P174" s="28"/>
      <c r="Q174" s="1"/>
      <c r="R174" s="1"/>
      <c r="S174" s="1"/>
    </row>
    <row r="175" ht="15.75" customHeight="1">
      <c r="A175" s="1"/>
      <c r="B175" s="28"/>
      <c r="C175" s="28"/>
      <c r="D175" s="28"/>
      <c r="E175" s="28"/>
      <c r="F175" s="28"/>
      <c r="G175" s="28"/>
      <c r="H175" s="80"/>
      <c r="I175" s="28"/>
      <c r="J175" s="45"/>
      <c r="K175" s="45"/>
      <c r="L175" s="50"/>
      <c r="M175" s="34"/>
      <c r="N175" s="34"/>
      <c r="O175" s="28"/>
      <c r="P175" s="28"/>
      <c r="Q175" s="1"/>
      <c r="R175" s="1"/>
      <c r="S175" s="1"/>
    </row>
    <row r="176" ht="15.75" customHeight="1">
      <c r="A176" s="1"/>
      <c r="B176" s="28"/>
      <c r="C176" s="28"/>
      <c r="D176" s="28"/>
      <c r="E176" s="28"/>
      <c r="F176" s="28"/>
      <c r="G176" s="28"/>
      <c r="H176" s="80"/>
      <c r="I176" s="28"/>
      <c r="J176" s="45"/>
      <c r="K176" s="45"/>
      <c r="L176" s="50"/>
      <c r="M176" s="34"/>
      <c r="N176" s="34"/>
      <c r="O176" s="28"/>
      <c r="P176" s="28"/>
      <c r="Q176" s="1"/>
      <c r="R176" s="1"/>
      <c r="S176" s="1"/>
    </row>
    <row r="177" ht="15.75" customHeight="1">
      <c r="A177" s="1"/>
      <c r="B177" s="28"/>
      <c r="C177" s="28"/>
      <c r="D177" s="28"/>
      <c r="E177" s="28"/>
      <c r="F177" s="28"/>
      <c r="G177" s="28"/>
      <c r="H177" s="80"/>
      <c r="I177" s="28"/>
      <c r="J177" s="45"/>
      <c r="K177" s="45"/>
      <c r="L177" s="50"/>
      <c r="M177" s="34"/>
      <c r="N177" s="34"/>
      <c r="O177" s="28"/>
      <c r="P177" s="28"/>
      <c r="Q177" s="1"/>
      <c r="R177" s="1"/>
      <c r="S177" s="1"/>
    </row>
    <row r="178" ht="15.75" customHeight="1">
      <c r="A178" s="1"/>
      <c r="B178" s="28"/>
      <c r="C178" s="28"/>
      <c r="D178" s="28"/>
      <c r="E178" s="28"/>
      <c r="F178" s="28"/>
      <c r="G178" s="28"/>
      <c r="H178" s="80"/>
      <c r="I178" s="28"/>
      <c r="J178" s="45"/>
      <c r="K178" s="45"/>
      <c r="L178" s="50"/>
      <c r="M178" s="34"/>
      <c r="N178" s="34"/>
      <c r="O178" s="28"/>
      <c r="P178" s="28"/>
      <c r="Q178" s="1"/>
      <c r="R178" s="1"/>
      <c r="S178" s="1"/>
    </row>
    <row r="179" ht="15.75" customHeight="1">
      <c r="A179" s="1"/>
      <c r="B179" s="28"/>
      <c r="C179" s="28"/>
      <c r="D179" s="28"/>
      <c r="E179" s="28"/>
      <c r="F179" s="28"/>
      <c r="G179" s="28"/>
      <c r="H179" s="80"/>
      <c r="I179" s="28"/>
      <c r="J179" s="45"/>
      <c r="K179" s="45"/>
      <c r="L179" s="50"/>
      <c r="M179" s="34"/>
      <c r="N179" s="34"/>
      <c r="O179" s="28"/>
      <c r="P179" s="28"/>
      <c r="Q179" s="1"/>
      <c r="R179" s="1"/>
      <c r="S179" s="1"/>
    </row>
    <row r="180" ht="15.75" customHeight="1">
      <c r="A180" s="1"/>
      <c r="B180" s="28"/>
      <c r="C180" s="28"/>
      <c r="D180" s="28"/>
      <c r="E180" s="28"/>
      <c r="F180" s="28"/>
      <c r="G180" s="28"/>
      <c r="H180" s="80"/>
      <c r="I180" s="28"/>
      <c r="J180" s="45"/>
      <c r="K180" s="45"/>
      <c r="L180" s="50"/>
      <c r="M180" s="34"/>
      <c r="N180" s="34"/>
      <c r="O180" s="28"/>
      <c r="P180" s="28"/>
      <c r="Q180" s="1"/>
      <c r="R180" s="1"/>
      <c r="S180" s="1"/>
    </row>
    <row r="181" ht="15.75" customHeight="1">
      <c r="A181" s="1"/>
      <c r="B181" s="28"/>
      <c r="C181" s="28"/>
      <c r="D181" s="28"/>
      <c r="E181" s="28"/>
      <c r="F181" s="28"/>
      <c r="G181" s="28"/>
      <c r="H181" s="80"/>
      <c r="I181" s="28"/>
      <c r="J181" s="45"/>
      <c r="K181" s="45"/>
      <c r="L181" s="50"/>
      <c r="M181" s="34"/>
      <c r="N181" s="34"/>
      <c r="O181" s="28"/>
      <c r="P181" s="28"/>
      <c r="Q181" s="1"/>
      <c r="R181" s="1"/>
      <c r="S181" s="1"/>
    </row>
    <row r="182" ht="15.75" customHeight="1">
      <c r="A182" s="1"/>
      <c r="B182" s="28"/>
      <c r="C182" s="28"/>
      <c r="D182" s="28"/>
      <c r="E182" s="28"/>
      <c r="F182" s="28"/>
      <c r="G182" s="28"/>
      <c r="H182" s="80"/>
      <c r="I182" s="28"/>
      <c r="J182" s="45"/>
      <c r="K182" s="45"/>
      <c r="L182" s="50"/>
      <c r="M182" s="34"/>
      <c r="N182" s="34"/>
      <c r="O182" s="28"/>
      <c r="P182" s="28"/>
      <c r="Q182" s="1"/>
      <c r="R182" s="1"/>
      <c r="S182" s="1"/>
    </row>
    <row r="183" ht="15.75" customHeight="1">
      <c r="A183" s="1"/>
      <c r="B183" s="28"/>
      <c r="C183" s="28"/>
      <c r="D183" s="28"/>
      <c r="E183" s="28"/>
      <c r="F183" s="28"/>
      <c r="G183" s="28"/>
      <c r="H183" s="80"/>
      <c r="I183" s="28"/>
      <c r="J183" s="45"/>
      <c r="K183" s="45"/>
      <c r="L183" s="50"/>
      <c r="M183" s="34"/>
      <c r="N183" s="34"/>
      <c r="O183" s="28"/>
      <c r="P183" s="28"/>
      <c r="Q183" s="1"/>
      <c r="R183" s="1"/>
      <c r="S183" s="1"/>
    </row>
    <row r="184" ht="15.75" customHeight="1">
      <c r="A184" s="1"/>
      <c r="B184" s="28"/>
      <c r="C184" s="28"/>
      <c r="D184" s="28"/>
      <c r="E184" s="28"/>
      <c r="F184" s="28"/>
      <c r="G184" s="28"/>
      <c r="H184" s="80"/>
      <c r="I184" s="28"/>
      <c r="J184" s="45"/>
      <c r="K184" s="45"/>
      <c r="L184" s="50"/>
      <c r="M184" s="34"/>
      <c r="N184" s="34"/>
      <c r="O184" s="28"/>
      <c r="P184" s="28"/>
      <c r="Q184" s="1"/>
      <c r="R184" s="1"/>
      <c r="S184" s="1"/>
    </row>
    <row r="185" ht="15.75" customHeight="1">
      <c r="A185" s="1"/>
      <c r="B185" s="28"/>
      <c r="C185" s="28"/>
      <c r="D185" s="28"/>
      <c r="E185" s="28"/>
      <c r="F185" s="28"/>
      <c r="G185" s="28"/>
      <c r="H185" s="80"/>
      <c r="I185" s="28"/>
      <c r="J185" s="45"/>
      <c r="K185" s="45"/>
      <c r="L185" s="50"/>
      <c r="M185" s="34"/>
      <c r="N185" s="34"/>
      <c r="O185" s="28"/>
      <c r="P185" s="28"/>
      <c r="Q185" s="1"/>
      <c r="R185" s="1"/>
      <c r="S185" s="1"/>
    </row>
    <row r="186" ht="15.75" customHeight="1">
      <c r="A186" s="1"/>
      <c r="B186" s="28"/>
      <c r="C186" s="28"/>
      <c r="D186" s="28"/>
      <c r="E186" s="28"/>
      <c r="F186" s="28"/>
      <c r="G186" s="28"/>
      <c r="H186" s="80"/>
      <c r="I186" s="28"/>
      <c r="J186" s="45"/>
      <c r="K186" s="45"/>
      <c r="L186" s="50"/>
      <c r="M186" s="34"/>
      <c r="N186" s="34"/>
      <c r="O186" s="28"/>
      <c r="P186" s="28"/>
      <c r="Q186" s="1"/>
      <c r="R186" s="1"/>
      <c r="S186" s="1"/>
    </row>
    <row r="187" ht="15.75" customHeight="1">
      <c r="A187" s="1"/>
      <c r="B187" s="28"/>
      <c r="C187" s="28"/>
      <c r="D187" s="28"/>
      <c r="E187" s="28"/>
      <c r="F187" s="28"/>
      <c r="G187" s="28"/>
      <c r="H187" s="80"/>
      <c r="I187" s="28"/>
      <c r="J187" s="45"/>
      <c r="K187" s="45"/>
      <c r="L187" s="50"/>
      <c r="M187" s="34"/>
      <c r="N187" s="34"/>
      <c r="O187" s="28"/>
      <c r="P187" s="28"/>
      <c r="Q187" s="1"/>
      <c r="R187" s="1"/>
      <c r="S187" s="1"/>
    </row>
    <row r="188" ht="15.75" customHeight="1">
      <c r="A188" s="1"/>
      <c r="B188" s="28"/>
      <c r="C188" s="28"/>
      <c r="D188" s="28"/>
      <c r="E188" s="28"/>
      <c r="F188" s="28"/>
      <c r="G188" s="28"/>
      <c r="H188" s="80"/>
      <c r="I188" s="28"/>
      <c r="J188" s="45"/>
      <c r="K188" s="45"/>
      <c r="L188" s="50"/>
      <c r="M188" s="34"/>
      <c r="N188" s="34"/>
      <c r="O188" s="28"/>
      <c r="P188" s="28"/>
      <c r="Q188" s="1"/>
      <c r="R188" s="1"/>
      <c r="S188" s="1"/>
    </row>
    <row r="189" ht="15.75" customHeight="1">
      <c r="A189" s="1"/>
      <c r="B189" s="28"/>
      <c r="C189" s="28"/>
      <c r="D189" s="28"/>
      <c r="E189" s="28"/>
      <c r="F189" s="28"/>
      <c r="G189" s="28"/>
      <c r="H189" s="80"/>
      <c r="I189" s="28"/>
      <c r="J189" s="45"/>
      <c r="K189" s="45"/>
      <c r="L189" s="50"/>
      <c r="M189" s="34"/>
      <c r="N189" s="34"/>
      <c r="O189" s="28"/>
      <c r="P189" s="28"/>
      <c r="Q189" s="1"/>
      <c r="R189" s="1"/>
      <c r="S189" s="1"/>
    </row>
    <row r="190" ht="15.75" customHeight="1">
      <c r="A190" s="1"/>
      <c r="B190" s="28"/>
      <c r="C190" s="28"/>
      <c r="D190" s="28"/>
      <c r="E190" s="28"/>
      <c r="F190" s="28"/>
      <c r="G190" s="28"/>
      <c r="H190" s="80"/>
      <c r="I190" s="28"/>
      <c r="J190" s="45"/>
      <c r="K190" s="45"/>
      <c r="L190" s="50"/>
      <c r="M190" s="34"/>
      <c r="N190" s="34"/>
      <c r="O190" s="28"/>
      <c r="P190" s="28"/>
      <c r="Q190" s="1"/>
      <c r="R190" s="1"/>
      <c r="S190" s="1"/>
    </row>
    <row r="191" ht="15.75" customHeight="1">
      <c r="A191" s="1"/>
      <c r="B191" s="28"/>
      <c r="C191" s="28"/>
      <c r="D191" s="28"/>
      <c r="E191" s="28"/>
      <c r="F191" s="28"/>
      <c r="G191" s="28"/>
      <c r="H191" s="80"/>
      <c r="I191" s="28"/>
      <c r="J191" s="45"/>
      <c r="K191" s="45"/>
      <c r="L191" s="50"/>
      <c r="M191" s="34"/>
      <c r="N191" s="34"/>
      <c r="O191" s="28"/>
      <c r="P191" s="28"/>
      <c r="Q191" s="1"/>
      <c r="R191" s="1"/>
      <c r="S191" s="1"/>
    </row>
    <row r="192" ht="15.75" customHeight="1">
      <c r="A192" s="1"/>
      <c r="B192" s="28"/>
      <c r="C192" s="28"/>
      <c r="D192" s="28"/>
      <c r="E192" s="28"/>
      <c r="F192" s="28"/>
      <c r="G192" s="28"/>
      <c r="H192" s="80"/>
      <c r="I192" s="28"/>
      <c r="J192" s="45"/>
      <c r="K192" s="45"/>
      <c r="L192" s="50"/>
      <c r="M192" s="34"/>
      <c r="N192" s="34"/>
      <c r="O192" s="28"/>
      <c r="P192" s="28"/>
      <c r="Q192" s="1"/>
      <c r="R192" s="1"/>
      <c r="S192" s="1"/>
    </row>
    <row r="193" ht="15.75" customHeight="1">
      <c r="A193" s="1"/>
      <c r="B193" s="28"/>
      <c r="C193" s="28"/>
      <c r="D193" s="28"/>
      <c r="E193" s="28"/>
      <c r="F193" s="28"/>
      <c r="G193" s="28"/>
      <c r="H193" s="80"/>
      <c r="I193" s="28"/>
      <c r="J193" s="45"/>
      <c r="K193" s="45"/>
      <c r="L193" s="50"/>
      <c r="M193" s="34"/>
      <c r="N193" s="34"/>
      <c r="O193" s="28"/>
      <c r="P193" s="28"/>
      <c r="Q193" s="1"/>
      <c r="R193" s="1"/>
      <c r="S193" s="1"/>
    </row>
    <row r="194" ht="15.75" customHeight="1">
      <c r="A194" s="1"/>
      <c r="B194" s="28"/>
      <c r="C194" s="28"/>
      <c r="D194" s="28"/>
      <c r="E194" s="28"/>
      <c r="F194" s="28"/>
      <c r="G194" s="28"/>
      <c r="H194" s="80"/>
      <c r="I194" s="28"/>
      <c r="J194" s="45"/>
      <c r="K194" s="45"/>
      <c r="L194" s="50"/>
      <c r="M194" s="34"/>
      <c r="N194" s="34"/>
      <c r="O194" s="28"/>
      <c r="P194" s="28"/>
      <c r="Q194" s="1"/>
      <c r="R194" s="1"/>
      <c r="S194" s="1"/>
    </row>
    <row r="195" ht="15.75" customHeight="1">
      <c r="A195" s="1"/>
      <c r="B195" s="28"/>
      <c r="C195" s="28"/>
      <c r="D195" s="28"/>
      <c r="E195" s="28"/>
      <c r="F195" s="28"/>
      <c r="G195" s="28"/>
      <c r="H195" s="80"/>
      <c r="I195" s="28"/>
      <c r="J195" s="45"/>
      <c r="K195" s="45"/>
      <c r="L195" s="50"/>
      <c r="M195" s="34"/>
      <c r="N195" s="34"/>
      <c r="O195" s="28"/>
      <c r="P195" s="28"/>
      <c r="Q195" s="1"/>
      <c r="R195" s="1"/>
      <c r="S195" s="1"/>
    </row>
    <row r="196" ht="15.75" customHeight="1">
      <c r="A196" s="1"/>
      <c r="B196" s="28"/>
      <c r="C196" s="28"/>
      <c r="D196" s="28"/>
      <c r="E196" s="28"/>
      <c r="F196" s="28"/>
      <c r="G196" s="28"/>
      <c r="H196" s="80"/>
      <c r="I196" s="28"/>
      <c r="J196" s="45"/>
      <c r="K196" s="45"/>
      <c r="L196" s="50"/>
      <c r="M196" s="34"/>
      <c r="N196" s="34"/>
      <c r="O196" s="28"/>
      <c r="P196" s="28"/>
      <c r="Q196" s="1"/>
      <c r="R196" s="1"/>
      <c r="S196" s="1"/>
    </row>
    <row r="197" ht="15.75" customHeight="1">
      <c r="A197" s="1"/>
      <c r="B197" s="28"/>
      <c r="C197" s="28"/>
      <c r="D197" s="28"/>
      <c r="E197" s="28"/>
      <c r="F197" s="28"/>
      <c r="G197" s="28"/>
      <c r="H197" s="80"/>
      <c r="I197" s="28"/>
      <c r="J197" s="45"/>
      <c r="K197" s="45"/>
      <c r="L197" s="50"/>
      <c r="M197" s="34"/>
      <c r="N197" s="34"/>
      <c r="O197" s="28"/>
      <c r="P197" s="28"/>
      <c r="Q197" s="1"/>
      <c r="R197" s="1"/>
      <c r="S197" s="1"/>
    </row>
    <row r="198" ht="15.75" customHeight="1">
      <c r="A198" s="1"/>
      <c r="B198" s="28"/>
      <c r="C198" s="28"/>
      <c r="D198" s="28"/>
      <c r="E198" s="28"/>
      <c r="F198" s="28"/>
      <c r="G198" s="28"/>
      <c r="H198" s="80"/>
      <c r="I198" s="28"/>
      <c r="J198" s="45"/>
      <c r="K198" s="45"/>
      <c r="L198" s="50"/>
      <c r="M198" s="34"/>
      <c r="N198" s="34"/>
      <c r="O198" s="28"/>
      <c r="P198" s="28"/>
      <c r="Q198" s="1"/>
      <c r="R198" s="1"/>
      <c r="S198" s="1"/>
    </row>
    <row r="199" ht="15.75" customHeight="1">
      <c r="A199" s="1"/>
      <c r="B199" s="28"/>
      <c r="C199" s="28"/>
      <c r="D199" s="28"/>
      <c r="E199" s="28"/>
      <c r="F199" s="28"/>
      <c r="G199" s="28"/>
      <c r="H199" s="80"/>
      <c r="I199" s="28"/>
      <c r="J199" s="45"/>
      <c r="K199" s="45"/>
      <c r="L199" s="50"/>
      <c r="M199" s="34"/>
      <c r="N199" s="34"/>
      <c r="O199" s="28"/>
      <c r="P199" s="28"/>
      <c r="Q199" s="1"/>
      <c r="R199" s="1"/>
      <c r="S199" s="1"/>
    </row>
    <row r="200" ht="15.75" customHeight="1">
      <c r="A200" s="1"/>
      <c r="B200" s="28"/>
      <c r="C200" s="28"/>
      <c r="D200" s="28"/>
      <c r="E200" s="28"/>
      <c r="F200" s="28"/>
      <c r="G200" s="28"/>
      <c r="H200" s="80"/>
      <c r="I200" s="28"/>
      <c r="J200" s="45"/>
      <c r="K200" s="45"/>
      <c r="L200" s="50"/>
      <c r="M200" s="34"/>
      <c r="N200" s="34"/>
      <c r="O200" s="28"/>
      <c r="P200" s="28"/>
      <c r="Q200" s="1"/>
      <c r="R200" s="1"/>
      <c r="S200" s="1"/>
    </row>
    <row r="201" ht="15.75" customHeight="1">
      <c r="A201" s="1"/>
      <c r="B201" s="28"/>
      <c r="C201" s="28"/>
      <c r="D201" s="28"/>
      <c r="E201" s="28"/>
      <c r="F201" s="28"/>
      <c r="G201" s="28"/>
      <c r="H201" s="80"/>
      <c r="I201" s="28"/>
      <c r="J201" s="45"/>
      <c r="K201" s="45"/>
      <c r="L201" s="50"/>
      <c r="M201" s="34"/>
      <c r="N201" s="34"/>
      <c r="O201" s="28"/>
      <c r="P201" s="28"/>
      <c r="Q201" s="1"/>
      <c r="R201" s="1"/>
      <c r="S201" s="1"/>
    </row>
    <row r="202" ht="15.75" customHeight="1">
      <c r="A202" s="1"/>
      <c r="B202" s="28"/>
      <c r="C202" s="28"/>
      <c r="D202" s="28"/>
      <c r="E202" s="28"/>
      <c r="F202" s="28"/>
      <c r="G202" s="28"/>
      <c r="H202" s="80"/>
      <c r="I202" s="28"/>
      <c r="J202" s="45"/>
      <c r="K202" s="45"/>
      <c r="L202" s="50"/>
      <c r="M202" s="34"/>
      <c r="N202" s="34"/>
      <c r="O202" s="28"/>
      <c r="P202" s="28"/>
      <c r="Q202" s="1"/>
      <c r="R202" s="1"/>
      <c r="S202" s="1"/>
    </row>
    <row r="203" ht="15.75" customHeight="1">
      <c r="A203" s="1"/>
      <c r="B203" s="28"/>
      <c r="C203" s="28"/>
      <c r="D203" s="28"/>
      <c r="E203" s="28"/>
      <c r="F203" s="28"/>
      <c r="G203" s="28"/>
      <c r="H203" s="80"/>
      <c r="I203" s="28"/>
      <c r="J203" s="45"/>
      <c r="K203" s="45"/>
      <c r="L203" s="50"/>
      <c r="M203" s="34"/>
      <c r="N203" s="34"/>
      <c r="O203" s="28"/>
      <c r="P203" s="28"/>
      <c r="Q203" s="1"/>
      <c r="R203" s="1"/>
      <c r="S203" s="1"/>
    </row>
    <row r="204" ht="15.75" customHeight="1">
      <c r="A204" s="1"/>
      <c r="B204" s="28"/>
      <c r="C204" s="28"/>
      <c r="D204" s="28"/>
      <c r="E204" s="28"/>
      <c r="F204" s="28"/>
      <c r="G204" s="28"/>
      <c r="H204" s="80"/>
      <c r="I204" s="28"/>
      <c r="J204" s="45"/>
      <c r="K204" s="45"/>
      <c r="L204" s="50"/>
      <c r="M204" s="34"/>
      <c r="N204" s="34"/>
      <c r="O204" s="28"/>
      <c r="P204" s="28"/>
      <c r="Q204" s="1"/>
      <c r="R204" s="1"/>
      <c r="S204" s="1"/>
    </row>
    <row r="205" ht="15.75" customHeight="1">
      <c r="A205" s="1"/>
      <c r="B205" s="28"/>
      <c r="C205" s="28"/>
      <c r="D205" s="28"/>
      <c r="E205" s="28"/>
      <c r="F205" s="28"/>
      <c r="G205" s="28"/>
      <c r="H205" s="80"/>
      <c r="I205" s="28"/>
      <c r="J205" s="45"/>
      <c r="K205" s="45"/>
      <c r="L205" s="50"/>
      <c r="M205" s="34"/>
      <c r="N205" s="34"/>
      <c r="O205" s="28"/>
      <c r="P205" s="28"/>
      <c r="Q205" s="1"/>
      <c r="R205" s="1"/>
      <c r="S205" s="1"/>
    </row>
    <row r="206" ht="15.75" customHeight="1">
      <c r="A206" s="1"/>
      <c r="B206" s="28"/>
      <c r="C206" s="28"/>
      <c r="D206" s="28"/>
      <c r="E206" s="28"/>
      <c r="F206" s="28"/>
      <c r="G206" s="28"/>
      <c r="H206" s="80"/>
      <c r="I206" s="28"/>
      <c r="J206" s="45"/>
      <c r="K206" s="45"/>
      <c r="L206" s="50"/>
      <c r="M206" s="34"/>
      <c r="N206" s="34"/>
      <c r="O206" s="28"/>
      <c r="P206" s="28"/>
      <c r="Q206" s="1"/>
      <c r="R206" s="1"/>
      <c r="S206" s="1"/>
    </row>
    <row r="207" ht="15.75" customHeight="1">
      <c r="A207" s="1"/>
      <c r="B207" s="28"/>
      <c r="C207" s="28"/>
      <c r="D207" s="28"/>
      <c r="E207" s="28"/>
      <c r="F207" s="28"/>
      <c r="G207" s="28"/>
      <c r="H207" s="80"/>
      <c r="I207" s="28"/>
      <c r="J207" s="45"/>
      <c r="K207" s="45"/>
      <c r="L207" s="50"/>
      <c r="M207" s="34"/>
      <c r="N207" s="34"/>
      <c r="O207" s="28"/>
      <c r="P207" s="28"/>
      <c r="Q207" s="1"/>
      <c r="R207" s="1"/>
      <c r="S207" s="1"/>
    </row>
    <row r="208" ht="15.75" customHeight="1">
      <c r="A208" s="1"/>
      <c r="B208" s="28"/>
      <c r="C208" s="28"/>
      <c r="D208" s="28"/>
      <c r="E208" s="28"/>
      <c r="F208" s="28"/>
      <c r="G208" s="28"/>
      <c r="H208" s="80"/>
      <c r="I208" s="28"/>
      <c r="J208" s="45"/>
      <c r="K208" s="45"/>
      <c r="L208" s="50"/>
      <c r="M208" s="34"/>
      <c r="N208" s="34"/>
      <c r="O208" s="28"/>
      <c r="P208" s="28"/>
      <c r="Q208" s="1"/>
      <c r="R208" s="1"/>
      <c r="S208" s="1"/>
    </row>
    <row r="209" ht="15.75" customHeight="1">
      <c r="A209" s="1"/>
      <c r="B209" s="28"/>
      <c r="C209" s="28"/>
      <c r="D209" s="28"/>
      <c r="E209" s="28"/>
      <c r="F209" s="28"/>
      <c r="G209" s="28"/>
      <c r="H209" s="80"/>
      <c r="I209" s="28"/>
      <c r="J209" s="45"/>
      <c r="K209" s="45"/>
      <c r="L209" s="50"/>
      <c r="M209" s="34"/>
      <c r="N209" s="34"/>
      <c r="O209" s="28"/>
      <c r="P209" s="28"/>
      <c r="Q209" s="1"/>
      <c r="R209" s="1"/>
      <c r="S209" s="1"/>
    </row>
    <row r="210" ht="15.75" customHeight="1">
      <c r="A210" s="1"/>
      <c r="B210" s="28"/>
      <c r="C210" s="28"/>
      <c r="D210" s="28"/>
      <c r="E210" s="28"/>
      <c r="F210" s="28"/>
      <c r="G210" s="28"/>
      <c r="H210" s="80"/>
      <c r="I210" s="28"/>
      <c r="J210" s="45"/>
      <c r="K210" s="45"/>
      <c r="L210" s="50"/>
      <c r="M210" s="34"/>
      <c r="N210" s="34"/>
      <c r="O210" s="28"/>
      <c r="P210" s="28"/>
      <c r="Q210" s="1"/>
      <c r="R210" s="1"/>
      <c r="S210" s="1"/>
    </row>
    <row r="211" ht="15.75" customHeight="1">
      <c r="A211" s="1"/>
      <c r="B211" s="28"/>
      <c r="C211" s="28"/>
      <c r="D211" s="28"/>
      <c r="E211" s="28"/>
      <c r="F211" s="28"/>
      <c r="G211" s="28"/>
      <c r="H211" s="80"/>
      <c r="I211" s="28"/>
      <c r="J211" s="45"/>
      <c r="K211" s="45"/>
      <c r="L211" s="50"/>
      <c r="M211" s="34"/>
      <c r="N211" s="34"/>
      <c r="O211" s="28"/>
      <c r="P211" s="28"/>
      <c r="Q211" s="1"/>
      <c r="R211" s="1"/>
      <c r="S211" s="1"/>
    </row>
    <row r="212" ht="15.75" customHeight="1">
      <c r="A212" s="1"/>
      <c r="B212" s="28"/>
      <c r="C212" s="28"/>
      <c r="D212" s="28"/>
      <c r="E212" s="28"/>
      <c r="F212" s="28"/>
      <c r="G212" s="28"/>
      <c r="H212" s="80"/>
      <c r="I212" s="28"/>
      <c r="J212" s="45"/>
      <c r="K212" s="45"/>
      <c r="L212" s="50"/>
      <c r="M212" s="34"/>
      <c r="N212" s="34"/>
      <c r="O212" s="28"/>
      <c r="P212" s="28"/>
      <c r="Q212" s="1"/>
      <c r="R212" s="1"/>
      <c r="S212" s="1"/>
    </row>
    <row r="213" ht="15.75" customHeight="1">
      <c r="A213" s="1"/>
      <c r="B213" s="28"/>
      <c r="C213" s="28"/>
      <c r="D213" s="28"/>
      <c r="E213" s="28"/>
      <c r="F213" s="28"/>
      <c r="G213" s="28"/>
      <c r="H213" s="80"/>
      <c r="I213" s="28"/>
      <c r="J213" s="45"/>
      <c r="K213" s="45"/>
      <c r="L213" s="50"/>
      <c r="M213" s="34"/>
      <c r="N213" s="34"/>
      <c r="O213" s="28"/>
      <c r="P213" s="28"/>
      <c r="Q213" s="1"/>
      <c r="R213" s="1"/>
      <c r="S213" s="1"/>
    </row>
    <row r="214" ht="15.75" customHeight="1">
      <c r="A214" s="1"/>
      <c r="B214" s="28"/>
      <c r="C214" s="28"/>
      <c r="D214" s="28"/>
      <c r="E214" s="28"/>
      <c r="F214" s="28"/>
      <c r="G214" s="28"/>
      <c r="H214" s="80"/>
      <c r="I214" s="28"/>
      <c r="J214" s="45"/>
      <c r="K214" s="45"/>
      <c r="L214" s="50"/>
      <c r="M214" s="34"/>
      <c r="N214" s="34"/>
      <c r="O214" s="28"/>
      <c r="P214" s="28"/>
      <c r="Q214" s="1"/>
      <c r="R214" s="1"/>
      <c r="S214" s="1"/>
    </row>
    <row r="215" ht="15.75" customHeight="1">
      <c r="A215" s="1"/>
      <c r="B215" s="28"/>
      <c r="C215" s="28"/>
      <c r="D215" s="28"/>
      <c r="E215" s="28"/>
      <c r="F215" s="28"/>
      <c r="G215" s="28"/>
      <c r="H215" s="80"/>
      <c r="I215" s="28"/>
      <c r="J215" s="45"/>
      <c r="K215" s="45"/>
      <c r="L215" s="50"/>
      <c r="M215" s="34"/>
      <c r="N215" s="34"/>
      <c r="O215" s="28"/>
      <c r="P215" s="28"/>
      <c r="Q215" s="1"/>
      <c r="R215" s="1"/>
      <c r="S215" s="1"/>
    </row>
    <row r="216" ht="15.75" customHeight="1">
      <c r="A216" s="1"/>
      <c r="B216" s="28"/>
      <c r="C216" s="28"/>
      <c r="D216" s="28"/>
      <c r="E216" s="28"/>
      <c r="F216" s="28"/>
      <c r="G216" s="28"/>
      <c r="H216" s="80"/>
      <c r="I216" s="28"/>
      <c r="J216" s="45"/>
      <c r="K216" s="45"/>
      <c r="L216" s="50"/>
      <c r="M216" s="34"/>
      <c r="N216" s="34"/>
      <c r="O216" s="28"/>
      <c r="P216" s="28"/>
      <c r="Q216" s="1"/>
      <c r="R216" s="1"/>
      <c r="S216" s="1"/>
    </row>
    <row r="217" ht="15.75" customHeight="1">
      <c r="A217" s="1"/>
      <c r="B217" s="28"/>
      <c r="C217" s="28"/>
      <c r="D217" s="28"/>
      <c r="E217" s="28"/>
      <c r="F217" s="28"/>
      <c r="G217" s="28"/>
      <c r="H217" s="80"/>
      <c r="I217" s="28"/>
      <c r="J217" s="45"/>
      <c r="K217" s="45"/>
      <c r="L217" s="50"/>
      <c r="M217" s="34"/>
      <c r="N217" s="34"/>
      <c r="O217" s="28"/>
      <c r="P217" s="28"/>
      <c r="Q217" s="1"/>
      <c r="R217" s="1"/>
      <c r="S217" s="1"/>
    </row>
    <row r="218" ht="15.75" customHeight="1">
      <c r="A218" s="1"/>
      <c r="B218" s="28"/>
      <c r="C218" s="28"/>
      <c r="D218" s="28"/>
      <c r="E218" s="28"/>
      <c r="F218" s="28"/>
      <c r="G218" s="28"/>
      <c r="H218" s="80"/>
      <c r="I218" s="28"/>
      <c r="J218" s="45"/>
      <c r="K218" s="45"/>
      <c r="L218" s="50"/>
      <c r="M218" s="34"/>
      <c r="N218" s="34"/>
      <c r="O218" s="28"/>
      <c r="P218" s="28"/>
      <c r="Q218" s="1"/>
      <c r="R218" s="1"/>
      <c r="S218" s="1"/>
    </row>
    <row r="219" ht="15.75" customHeight="1">
      <c r="A219" s="1"/>
      <c r="B219" s="28"/>
      <c r="C219" s="28"/>
      <c r="D219" s="28"/>
      <c r="E219" s="28"/>
      <c r="F219" s="28"/>
      <c r="G219" s="28"/>
      <c r="H219" s="80"/>
      <c r="I219" s="28"/>
      <c r="J219" s="45"/>
      <c r="K219" s="45"/>
      <c r="L219" s="50"/>
      <c r="M219" s="34"/>
      <c r="N219" s="34"/>
      <c r="O219" s="28"/>
      <c r="P219" s="28"/>
      <c r="Q219" s="1"/>
      <c r="R219" s="1"/>
      <c r="S219" s="1"/>
    </row>
    <row r="220" ht="15.75" customHeight="1">
      <c r="A220" s="1"/>
      <c r="B220" s="28"/>
      <c r="C220" s="28"/>
      <c r="D220" s="28"/>
      <c r="E220" s="28"/>
      <c r="F220" s="28"/>
      <c r="G220" s="28"/>
      <c r="H220" s="80"/>
      <c r="I220" s="28"/>
      <c r="J220" s="45"/>
      <c r="K220" s="45"/>
      <c r="L220" s="50"/>
      <c r="M220" s="34"/>
      <c r="N220" s="34"/>
      <c r="O220" s="28"/>
      <c r="P220" s="28"/>
      <c r="Q220" s="1"/>
      <c r="R220" s="1"/>
      <c r="S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H3:H5"/>
    <mergeCell ref="I3:I5"/>
    <mergeCell ref="J3:J5"/>
    <mergeCell ref="K3:K5"/>
    <mergeCell ref="L3:L5"/>
    <mergeCell ref="M3:M5"/>
    <mergeCell ref="O2:P2"/>
    <mergeCell ref="B3:B5"/>
    <mergeCell ref="C3:C5"/>
    <mergeCell ref="D3:D5"/>
    <mergeCell ref="E3:E5"/>
    <mergeCell ref="F3:F5"/>
    <mergeCell ref="G3:G5"/>
    <mergeCell ref="N3:N5"/>
  </mergeCells>
  <dataValidations>
    <dataValidation type="list" allowBlank="1" showErrorMessage="1" sqref="F3 F6:F89">
      <formula1>"United States,UK,DACH,France,LatAm"</formula1>
    </dataValidation>
    <dataValidation type="list" allowBlank="1" showErrorMessage="1" sqref="I3 I6:I89">
      <formula1>"IG,YT,TikTok"</formula1>
    </dataValidation>
    <dataValidation type="list" allowBlank="1" showErrorMessage="1" sqref="G3 G6:G89">
      <formula1>"1st Email,2nd Email,3rd Email,Final Email,No reply,No deal,Not interested,Negotiating,Signed"</formula1>
    </dataValidation>
    <dataValidation type="list" allowBlank="1" showErrorMessage="1" sqref="P3:P89">
      <formula1>"Stories,Feed Post,Reel,Integration,Dedicated Vid,TikTok"</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5.75"/>
    <col customWidth="1" min="2" max="2" width="10.25"/>
    <col customWidth="1" min="3" max="3" width="10.0"/>
    <col customWidth="1" min="4" max="4" width="12.63"/>
    <col customWidth="1" min="5" max="5" width="10.0"/>
    <col customWidth="1" min="6" max="10" width="9.75"/>
    <col customWidth="1" min="11" max="11" width="11.13"/>
    <col customWidth="1" min="12" max="12" width="6.5"/>
    <col customWidth="1" min="13" max="13" width="12.13"/>
    <col customWidth="1" min="14" max="14" width="10.0"/>
    <col customWidth="1" min="15" max="15" width="7.25"/>
    <col customWidth="1" min="16" max="16" width="7.5"/>
    <col customWidth="1" min="17" max="17" width="7.13"/>
    <col customWidth="1" min="19" max="19" width="10.0"/>
    <col customWidth="1" min="20" max="24" width="11.88"/>
  </cols>
  <sheetData>
    <row r="1" ht="52.5" customHeight="1">
      <c r="A1" s="12" t="s">
        <v>4</v>
      </c>
      <c r="B1" s="12" t="s">
        <v>11</v>
      </c>
      <c r="C1" s="12" t="s">
        <v>14</v>
      </c>
      <c r="D1" s="12" t="s">
        <v>21</v>
      </c>
      <c r="E1" s="17" t="s">
        <v>80</v>
      </c>
      <c r="F1" s="12" t="s">
        <v>30</v>
      </c>
      <c r="G1" s="12" t="s">
        <v>31</v>
      </c>
      <c r="H1" s="12" t="s">
        <v>81</v>
      </c>
      <c r="I1" s="12" t="s">
        <v>82</v>
      </c>
      <c r="J1" s="12" t="s">
        <v>83</v>
      </c>
      <c r="K1" s="12" t="s">
        <v>84</v>
      </c>
      <c r="L1" s="20" t="s">
        <v>20</v>
      </c>
      <c r="M1" s="12" t="s">
        <v>85</v>
      </c>
      <c r="N1" s="17" t="s">
        <v>86</v>
      </c>
      <c r="O1" s="79" t="s">
        <v>87</v>
      </c>
      <c r="P1" s="79" t="s">
        <v>89</v>
      </c>
      <c r="Q1" s="79" t="s">
        <v>90</v>
      </c>
      <c r="R1" s="24" t="s">
        <v>8</v>
      </c>
      <c r="S1" s="17" t="s">
        <v>23</v>
      </c>
      <c r="T1" s="17" t="s">
        <v>33</v>
      </c>
      <c r="U1" s="24" t="s">
        <v>35</v>
      </c>
      <c r="V1" s="12" t="s">
        <v>91</v>
      </c>
      <c r="W1" s="24" t="s">
        <v>92</v>
      </c>
      <c r="X1" s="12" t="s">
        <v>34</v>
      </c>
      <c r="Y1" s="12"/>
      <c r="Z1" s="12"/>
      <c r="AA1" s="12"/>
    </row>
    <row r="2" ht="15.75" customHeight="1">
      <c r="A2" s="49" t="s">
        <v>50</v>
      </c>
      <c r="B2" s="49" t="s">
        <v>52</v>
      </c>
      <c r="C2" s="49" t="s">
        <v>56</v>
      </c>
      <c r="D2" s="49" t="s">
        <v>59</v>
      </c>
      <c r="E2" s="51">
        <v>45671.0</v>
      </c>
      <c r="F2" s="51">
        <v>45672.0</v>
      </c>
      <c r="G2" s="81" t="s">
        <v>93</v>
      </c>
      <c r="H2" s="81" t="s">
        <v>93</v>
      </c>
      <c r="I2" s="82">
        <v>45659.0</v>
      </c>
      <c r="J2" s="82">
        <v>45749.0</v>
      </c>
      <c r="K2" s="63" t="s">
        <v>95</v>
      </c>
      <c r="L2" s="54">
        <v>0.0158</v>
      </c>
      <c r="M2" s="49" t="s">
        <v>95</v>
      </c>
      <c r="N2" s="52" t="s">
        <v>96</v>
      </c>
      <c r="O2" s="83" t="s">
        <v>97</v>
      </c>
      <c r="P2" s="83" t="s">
        <v>98</v>
      </c>
      <c r="Q2" s="83" t="s">
        <v>99</v>
      </c>
      <c r="R2" s="55">
        <v>15000.0</v>
      </c>
      <c r="S2" s="52">
        <v>1500000.0</v>
      </c>
      <c r="T2" s="52">
        <v>1400000.0</v>
      </c>
      <c r="U2" s="55">
        <f t="shared" ref="U2:U48" si="1">R2/(T2/1000)</f>
        <v>10.71428571</v>
      </c>
      <c r="V2" s="49">
        <v>220.0</v>
      </c>
      <c r="W2" s="55">
        <v>6600.0</v>
      </c>
      <c r="X2" s="84">
        <f t="shared" ref="X2:X48" si="2">W2/R2</f>
        <v>0.44</v>
      </c>
      <c r="Y2" s="48"/>
      <c r="Z2" s="48"/>
      <c r="AA2" s="48"/>
    </row>
    <row r="3" ht="15.75" customHeight="1">
      <c r="C3" s="49" t="s">
        <v>56</v>
      </c>
      <c r="D3" s="49" t="s">
        <v>60</v>
      </c>
      <c r="E3" s="51">
        <v>45672.0</v>
      </c>
      <c r="F3" s="51">
        <v>45673.0</v>
      </c>
      <c r="G3" s="81" t="s">
        <v>100</v>
      </c>
      <c r="H3" s="81" t="s">
        <v>100</v>
      </c>
      <c r="I3" s="82">
        <v>45660.0</v>
      </c>
      <c r="J3" s="82">
        <v>45750.0</v>
      </c>
      <c r="K3" s="63" t="s">
        <v>95</v>
      </c>
      <c r="L3" s="54">
        <v>4.0E-4</v>
      </c>
      <c r="M3" s="49" t="s">
        <v>95</v>
      </c>
      <c r="N3" s="52" t="s">
        <v>102</v>
      </c>
      <c r="O3" s="83" t="s">
        <v>103</v>
      </c>
      <c r="P3" s="83" t="s">
        <v>104</v>
      </c>
      <c r="Q3" s="83" t="s">
        <v>105</v>
      </c>
      <c r="R3" s="55">
        <v>22000.0</v>
      </c>
      <c r="S3" s="52">
        <v>1500000.0</v>
      </c>
      <c r="T3" s="52">
        <v>2002500.0</v>
      </c>
      <c r="U3" s="55">
        <f t="shared" si="1"/>
        <v>10.98626717</v>
      </c>
      <c r="V3" s="49">
        <v>138.0</v>
      </c>
      <c r="W3" s="55">
        <v>4140.0</v>
      </c>
      <c r="X3" s="84">
        <f t="shared" si="2"/>
        <v>0.1881818182</v>
      </c>
      <c r="Y3" s="48"/>
      <c r="Z3" s="48"/>
      <c r="AA3" s="48"/>
    </row>
    <row r="4" ht="15.75" customHeight="1">
      <c r="C4" s="49" t="s">
        <v>61</v>
      </c>
      <c r="D4" s="49" t="s">
        <v>61</v>
      </c>
      <c r="E4" s="51">
        <v>45673.0</v>
      </c>
      <c r="F4" s="51">
        <v>45674.0</v>
      </c>
      <c r="G4" s="81" t="s">
        <v>106</v>
      </c>
      <c r="H4" s="60" t="s">
        <v>107</v>
      </c>
      <c r="I4" s="82">
        <v>45661.0</v>
      </c>
      <c r="J4" s="82">
        <v>45751.0</v>
      </c>
      <c r="K4" s="63" t="s">
        <v>95</v>
      </c>
      <c r="L4" s="54">
        <v>0.0841</v>
      </c>
      <c r="M4" s="49" t="s">
        <v>95</v>
      </c>
      <c r="N4" s="52" t="s">
        <v>108</v>
      </c>
      <c r="O4" s="83" t="s">
        <v>109</v>
      </c>
      <c r="P4" s="83" t="s">
        <v>110</v>
      </c>
      <c r="Q4" s="83" t="s">
        <v>111</v>
      </c>
      <c r="R4" s="55">
        <v>15000.0</v>
      </c>
      <c r="S4" s="52">
        <v>5600000.0</v>
      </c>
      <c r="T4" s="52">
        <v>7900000.0</v>
      </c>
      <c r="U4" s="55">
        <f t="shared" si="1"/>
        <v>1.898734177</v>
      </c>
      <c r="V4" s="49">
        <v>101.0</v>
      </c>
      <c r="W4" s="55">
        <v>3030.0</v>
      </c>
      <c r="X4" s="84">
        <f t="shared" si="2"/>
        <v>0.202</v>
      </c>
      <c r="Y4" s="48"/>
      <c r="Z4" s="48"/>
      <c r="AA4" s="48"/>
    </row>
    <row r="5" ht="15.75" customHeight="1">
      <c r="A5" s="49"/>
      <c r="B5" s="49"/>
      <c r="C5" s="49"/>
      <c r="D5" s="49"/>
      <c r="E5" s="52"/>
      <c r="F5" s="49"/>
      <c r="G5" s="60"/>
      <c r="H5" s="60"/>
      <c r="I5" s="60"/>
      <c r="J5" s="60"/>
      <c r="K5" s="60"/>
      <c r="L5" s="54"/>
      <c r="M5" s="49"/>
      <c r="N5" s="52"/>
      <c r="O5" s="83"/>
      <c r="P5" s="83"/>
      <c r="Q5" s="83"/>
      <c r="R5" s="55"/>
      <c r="S5" s="52"/>
      <c r="T5" s="52"/>
      <c r="U5" s="55" t="str">
        <f t="shared" si="1"/>
        <v>#DIV/0!</v>
      </c>
      <c r="V5" s="49"/>
      <c r="W5" s="55"/>
      <c r="X5" s="84" t="str">
        <f t="shared" si="2"/>
        <v>#DIV/0!</v>
      </c>
      <c r="Y5" s="48"/>
      <c r="Z5" s="48"/>
      <c r="AA5" s="48"/>
    </row>
    <row r="6" ht="15.75" customHeight="1">
      <c r="A6" s="49"/>
      <c r="B6" s="49"/>
      <c r="C6" s="49"/>
      <c r="D6" s="49"/>
      <c r="E6" s="52"/>
      <c r="F6" s="49"/>
      <c r="G6" s="60"/>
      <c r="H6" s="60"/>
      <c r="I6" s="60"/>
      <c r="J6" s="60"/>
      <c r="K6" s="60"/>
      <c r="L6" s="54"/>
      <c r="M6" s="49"/>
      <c r="N6" s="52"/>
      <c r="O6" s="83"/>
      <c r="P6" s="83"/>
      <c r="Q6" s="83"/>
      <c r="R6" s="55"/>
      <c r="S6" s="52"/>
      <c r="T6" s="52"/>
      <c r="U6" s="55" t="str">
        <f t="shared" si="1"/>
        <v>#DIV/0!</v>
      </c>
      <c r="V6" s="49"/>
      <c r="W6" s="55"/>
      <c r="X6" s="84" t="str">
        <f t="shared" si="2"/>
        <v>#DIV/0!</v>
      </c>
      <c r="Y6" s="48"/>
      <c r="Z6" s="48"/>
      <c r="AA6" s="48"/>
    </row>
    <row r="7" ht="15.75" customHeight="1">
      <c r="A7" s="49"/>
      <c r="B7" s="49"/>
      <c r="C7" s="49"/>
      <c r="D7" s="49"/>
      <c r="E7" s="52"/>
      <c r="F7" s="49"/>
      <c r="G7" s="60"/>
      <c r="H7" s="60"/>
      <c r="I7" s="60"/>
      <c r="J7" s="60"/>
      <c r="K7" s="60"/>
      <c r="L7" s="54"/>
      <c r="M7" s="49"/>
      <c r="N7" s="52"/>
      <c r="O7" s="83"/>
      <c r="P7" s="83"/>
      <c r="Q7" s="83"/>
      <c r="R7" s="55"/>
      <c r="S7" s="52"/>
      <c r="T7" s="52"/>
      <c r="U7" s="55" t="str">
        <f t="shared" si="1"/>
        <v>#DIV/0!</v>
      </c>
      <c r="V7" s="49"/>
      <c r="W7" s="55"/>
      <c r="X7" s="84" t="str">
        <f t="shared" si="2"/>
        <v>#DIV/0!</v>
      </c>
      <c r="Y7" s="48"/>
      <c r="Z7" s="48"/>
      <c r="AA7" s="48"/>
    </row>
    <row r="8" ht="15.75" customHeight="1">
      <c r="A8" s="49"/>
      <c r="B8" s="49"/>
      <c r="C8" s="49"/>
      <c r="D8" s="49"/>
      <c r="E8" s="52"/>
      <c r="F8" s="49"/>
      <c r="G8" s="60"/>
      <c r="H8" s="60"/>
      <c r="I8" s="60"/>
      <c r="J8" s="60"/>
      <c r="K8" s="60"/>
      <c r="L8" s="54"/>
      <c r="M8" s="49"/>
      <c r="N8" s="52"/>
      <c r="O8" s="83"/>
      <c r="P8" s="83"/>
      <c r="Q8" s="83"/>
      <c r="R8" s="55"/>
      <c r="S8" s="52"/>
      <c r="T8" s="52"/>
      <c r="U8" s="55" t="str">
        <f t="shared" si="1"/>
        <v>#DIV/0!</v>
      </c>
      <c r="V8" s="49"/>
      <c r="W8" s="55"/>
      <c r="X8" s="84" t="str">
        <f t="shared" si="2"/>
        <v>#DIV/0!</v>
      </c>
      <c r="Y8" s="48"/>
      <c r="Z8" s="48"/>
      <c r="AA8" s="48"/>
    </row>
    <row r="9" ht="15.75" customHeight="1">
      <c r="A9" s="49"/>
      <c r="B9" s="49"/>
      <c r="C9" s="49"/>
      <c r="D9" s="49"/>
      <c r="E9" s="52"/>
      <c r="F9" s="49"/>
      <c r="G9" s="60"/>
      <c r="H9" s="60"/>
      <c r="I9" s="60"/>
      <c r="J9" s="60"/>
      <c r="K9" s="60"/>
      <c r="L9" s="54"/>
      <c r="M9" s="49"/>
      <c r="N9" s="52"/>
      <c r="O9" s="83"/>
      <c r="P9" s="83"/>
      <c r="Q9" s="83"/>
      <c r="R9" s="55"/>
      <c r="S9" s="52"/>
      <c r="T9" s="52"/>
      <c r="U9" s="55" t="str">
        <f t="shared" si="1"/>
        <v>#DIV/0!</v>
      </c>
      <c r="V9" s="49"/>
      <c r="W9" s="55"/>
      <c r="X9" s="84" t="str">
        <f t="shared" si="2"/>
        <v>#DIV/0!</v>
      </c>
      <c r="Y9" s="48"/>
      <c r="Z9" s="48"/>
      <c r="AA9" s="48"/>
    </row>
    <row r="10" ht="15.75" customHeight="1">
      <c r="A10" s="49"/>
      <c r="B10" s="49"/>
      <c r="C10" s="49"/>
      <c r="D10" s="49"/>
      <c r="E10" s="52"/>
      <c r="F10" s="49"/>
      <c r="G10" s="60"/>
      <c r="H10" s="60"/>
      <c r="I10" s="60"/>
      <c r="J10" s="60"/>
      <c r="K10" s="60"/>
      <c r="L10" s="54"/>
      <c r="M10" s="49"/>
      <c r="N10" s="52"/>
      <c r="O10" s="83"/>
      <c r="P10" s="83"/>
      <c r="Q10" s="83"/>
      <c r="R10" s="55"/>
      <c r="S10" s="52"/>
      <c r="T10" s="52"/>
      <c r="U10" s="55" t="str">
        <f t="shared" si="1"/>
        <v>#DIV/0!</v>
      </c>
      <c r="V10" s="49"/>
      <c r="W10" s="55"/>
      <c r="X10" s="84" t="str">
        <f t="shared" si="2"/>
        <v>#DIV/0!</v>
      </c>
      <c r="Y10" s="48"/>
      <c r="Z10" s="48"/>
      <c r="AA10" s="48"/>
    </row>
    <row r="11" ht="15.75" customHeight="1">
      <c r="A11" s="49"/>
      <c r="B11" s="49"/>
      <c r="C11" s="49"/>
      <c r="D11" s="49"/>
      <c r="E11" s="52"/>
      <c r="F11" s="49"/>
      <c r="G11" s="60"/>
      <c r="H11" s="60"/>
      <c r="I11" s="60"/>
      <c r="J11" s="60"/>
      <c r="K11" s="60"/>
      <c r="L11" s="54"/>
      <c r="M11" s="49"/>
      <c r="N11" s="52"/>
      <c r="O11" s="83"/>
      <c r="P11" s="83"/>
      <c r="Q11" s="83"/>
      <c r="R11" s="55"/>
      <c r="S11" s="52"/>
      <c r="T11" s="52"/>
      <c r="U11" s="55" t="str">
        <f t="shared" si="1"/>
        <v>#DIV/0!</v>
      </c>
      <c r="V11" s="49"/>
      <c r="W11" s="55"/>
      <c r="X11" s="84" t="str">
        <f t="shared" si="2"/>
        <v>#DIV/0!</v>
      </c>
      <c r="Y11" s="48"/>
      <c r="Z11" s="48"/>
      <c r="AA11" s="48"/>
    </row>
    <row r="12" ht="15.75" customHeight="1">
      <c r="A12" s="49"/>
      <c r="B12" s="49"/>
      <c r="C12" s="49"/>
      <c r="D12" s="49"/>
      <c r="E12" s="52"/>
      <c r="F12" s="49"/>
      <c r="G12" s="60"/>
      <c r="H12" s="60"/>
      <c r="I12" s="60"/>
      <c r="J12" s="60"/>
      <c r="K12" s="60"/>
      <c r="L12" s="54"/>
      <c r="M12" s="49"/>
      <c r="N12" s="52"/>
      <c r="O12" s="83"/>
      <c r="P12" s="83"/>
      <c r="Q12" s="83"/>
      <c r="R12" s="55"/>
      <c r="S12" s="52"/>
      <c r="T12" s="52"/>
      <c r="U12" s="55" t="str">
        <f t="shared" si="1"/>
        <v>#DIV/0!</v>
      </c>
      <c r="V12" s="49"/>
      <c r="W12" s="55"/>
      <c r="X12" s="84" t="str">
        <f t="shared" si="2"/>
        <v>#DIV/0!</v>
      </c>
      <c r="Y12" s="48"/>
      <c r="Z12" s="48"/>
      <c r="AA12" s="48"/>
    </row>
    <row r="13" ht="15.75" customHeight="1">
      <c r="A13" s="49"/>
      <c r="B13" s="49"/>
      <c r="C13" s="49"/>
      <c r="D13" s="49"/>
      <c r="E13" s="52"/>
      <c r="F13" s="49"/>
      <c r="G13" s="60"/>
      <c r="H13" s="60"/>
      <c r="I13" s="60"/>
      <c r="J13" s="60"/>
      <c r="K13" s="60"/>
      <c r="L13" s="54"/>
      <c r="M13" s="49"/>
      <c r="N13" s="52"/>
      <c r="O13" s="83"/>
      <c r="P13" s="83"/>
      <c r="Q13" s="83"/>
      <c r="R13" s="55"/>
      <c r="S13" s="52"/>
      <c r="T13" s="52"/>
      <c r="U13" s="55" t="str">
        <f t="shared" si="1"/>
        <v>#DIV/0!</v>
      </c>
      <c r="V13" s="49"/>
      <c r="W13" s="55"/>
      <c r="X13" s="84" t="str">
        <f t="shared" si="2"/>
        <v>#DIV/0!</v>
      </c>
      <c r="Y13" s="48"/>
      <c r="Z13" s="48"/>
      <c r="AA13" s="48"/>
    </row>
    <row r="14" ht="15.75" customHeight="1">
      <c r="A14" s="49"/>
      <c r="B14" s="49"/>
      <c r="C14" s="49"/>
      <c r="D14" s="49"/>
      <c r="E14" s="52"/>
      <c r="F14" s="49"/>
      <c r="G14" s="60"/>
      <c r="H14" s="60"/>
      <c r="I14" s="60"/>
      <c r="J14" s="60"/>
      <c r="K14" s="60"/>
      <c r="L14" s="54"/>
      <c r="M14" s="49"/>
      <c r="N14" s="52"/>
      <c r="O14" s="83"/>
      <c r="P14" s="83"/>
      <c r="Q14" s="83"/>
      <c r="R14" s="55"/>
      <c r="S14" s="52"/>
      <c r="T14" s="52"/>
      <c r="U14" s="55" t="str">
        <f t="shared" si="1"/>
        <v>#DIV/0!</v>
      </c>
      <c r="V14" s="49"/>
      <c r="W14" s="55"/>
      <c r="X14" s="84" t="str">
        <f t="shared" si="2"/>
        <v>#DIV/0!</v>
      </c>
      <c r="Y14" s="48"/>
      <c r="Z14" s="48"/>
      <c r="AA14" s="48"/>
    </row>
    <row r="15" ht="15.75" customHeight="1">
      <c r="A15" s="49"/>
      <c r="B15" s="49"/>
      <c r="C15" s="49"/>
      <c r="D15" s="49"/>
      <c r="E15" s="52"/>
      <c r="F15" s="49"/>
      <c r="G15" s="60"/>
      <c r="H15" s="60"/>
      <c r="I15" s="60"/>
      <c r="J15" s="60"/>
      <c r="K15" s="60"/>
      <c r="L15" s="54"/>
      <c r="M15" s="49"/>
      <c r="N15" s="52"/>
      <c r="O15" s="83"/>
      <c r="P15" s="83"/>
      <c r="Q15" s="83"/>
      <c r="R15" s="55"/>
      <c r="S15" s="52"/>
      <c r="T15" s="52"/>
      <c r="U15" s="55" t="str">
        <f t="shared" si="1"/>
        <v>#DIV/0!</v>
      </c>
      <c r="V15" s="49"/>
      <c r="W15" s="55"/>
      <c r="X15" s="84" t="str">
        <f t="shared" si="2"/>
        <v>#DIV/0!</v>
      </c>
      <c r="Y15" s="48"/>
      <c r="Z15" s="48"/>
      <c r="AA15" s="48"/>
    </row>
    <row r="16" ht="15.75" customHeight="1">
      <c r="A16" s="49"/>
      <c r="B16" s="49"/>
      <c r="C16" s="49"/>
      <c r="D16" s="49"/>
      <c r="E16" s="52"/>
      <c r="F16" s="49"/>
      <c r="G16" s="60"/>
      <c r="H16" s="60"/>
      <c r="I16" s="60"/>
      <c r="J16" s="60"/>
      <c r="K16" s="60"/>
      <c r="L16" s="54"/>
      <c r="M16" s="49"/>
      <c r="N16" s="52"/>
      <c r="O16" s="83"/>
      <c r="P16" s="83"/>
      <c r="Q16" s="83"/>
      <c r="R16" s="55"/>
      <c r="S16" s="52"/>
      <c r="T16" s="52"/>
      <c r="U16" s="55" t="str">
        <f t="shared" si="1"/>
        <v>#DIV/0!</v>
      </c>
      <c r="V16" s="49"/>
      <c r="W16" s="55"/>
      <c r="X16" s="84" t="str">
        <f t="shared" si="2"/>
        <v>#DIV/0!</v>
      </c>
      <c r="Y16" s="48"/>
      <c r="Z16" s="48"/>
      <c r="AA16" s="48"/>
    </row>
    <row r="17" ht="15.75" customHeight="1">
      <c r="A17" s="49"/>
      <c r="B17" s="49"/>
      <c r="C17" s="49"/>
      <c r="D17" s="49"/>
      <c r="E17" s="52"/>
      <c r="F17" s="49"/>
      <c r="G17" s="60"/>
      <c r="H17" s="60"/>
      <c r="I17" s="60"/>
      <c r="J17" s="60"/>
      <c r="K17" s="60"/>
      <c r="L17" s="54"/>
      <c r="M17" s="49"/>
      <c r="N17" s="52"/>
      <c r="O17" s="83"/>
      <c r="P17" s="83"/>
      <c r="Q17" s="83"/>
      <c r="R17" s="55"/>
      <c r="S17" s="52"/>
      <c r="T17" s="52"/>
      <c r="U17" s="55" t="str">
        <f t="shared" si="1"/>
        <v>#DIV/0!</v>
      </c>
      <c r="V17" s="49"/>
      <c r="W17" s="55"/>
      <c r="X17" s="84" t="str">
        <f t="shared" si="2"/>
        <v>#DIV/0!</v>
      </c>
      <c r="Y17" s="48"/>
      <c r="Z17" s="48"/>
      <c r="AA17" s="48"/>
    </row>
    <row r="18" ht="15.75" customHeight="1">
      <c r="A18" s="49"/>
      <c r="B18" s="49"/>
      <c r="C18" s="49"/>
      <c r="D18" s="49"/>
      <c r="E18" s="52"/>
      <c r="F18" s="49"/>
      <c r="G18" s="60"/>
      <c r="H18" s="60"/>
      <c r="I18" s="60"/>
      <c r="J18" s="60"/>
      <c r="K18" s="60"/>
      <c r="L18" s="54"/>
      <c r="M18" s="49"/>
      <c r="N18" s="52"/>
      <c r="O18" s="83"/>
      <c r="P18" s="83"/>
      <c r="Q18" s="83"/>
      <c r="R18" s="55"/>
      <c r="S18" s="52"/>
      <c r="T18" s="52"/>
      <c r="U18" s="55" t="str">
        <f t="shared" si="1"/>
        <v>#DIV/0!</v>
      </c>
      <c r="V18" s="49"/>
      <c r="W18" s="55"/>
      <c r="X18" s="84" t="str">
        <f t="shared" si="2"/>
        <v>#DIV/0!</v>
      </c>
      <c r="Y18" s="48"/>
      <c r="Z18" s="48"/>
      <c r="AA18" s="48"/>
    </row>
    <row r="19" ht="15.75" customHeight="1">
      <c r="A19" s="49"/>
      <c r="B19" s="49"/>
      <c r="C19" s="49"/>
      <c r="D19" s="49"/>
      <c r="E19" s="52"/>
      <c r="F19" s="49"/>
      <c r="G19" s="60"/>
      <c r="H19" s="60"/>
      <c r="I19" s="60"/>
      <c r="J19" s="60"/>
      <c r="K19" s="60"/>
      <c r="L19" s="54"/>
      <c r="M19" s="49"/>
      <c r="N19" s="52"/>
      <c r="O19" s="83"/>
      <c r="P19" s="83"/>
      <c r="Q19" s="83"/>
      <c r="R19" s="55"/>
      <c r="S19" s="52"/>
      <c r="T19" s="52"/>
      <c r="U19" s="55" t="str">
        <f t="shared" si="1"/>
        <v>#DIV/0!</v>
      </c>
      <c r="V19" s="49"/>
      <c r="W19" s="55"/>
      <c r="X19" s="84" t="str">
        <f t="shared" si="2"/>
        <v>#DIV/0!</v>
      </c>
      <c r="Y19" s="48"/>
      <c r="Z19" s="48"/>
      <c r="AA19" s="48"/>
    </row>
    <row r="20" ht="15.75" customHeight="1">
      <c r="A20" s="49"/>
      <c r="B20" s="49"/>
      <c r="C20" s="49"/>
      <c r="D20" s="49"/>
      <c r="E20" s="52"/>
      <c r="F20" s="49"/>
      <c r="G20" s="60"/>
      <c r="H20" s="60"/>
      <c r="I20" s="60"/>
      <c r="J20" s="60"/>
      <c r="K20" s="60"/>
      <c r="L20" s="54"/>
      <c r="M20" s="49"/>
      <c r="N20" s="52"/>
      <c r="O20" s="83"/>
      <c r="P20" s="83"/>
      <c r="Q20" s="83"/>
      <c r="R20" s="55"/>
      <c r="S20" s="52"/>
      <c r="T20" s="52"/>
      <c r="U20" s="55" t="str">
        <f t="shared" si="1"/>
        <v>#DIV/0!</v>
      </c>
      <c r="V20" s="49"/>
      <c r="W20" s="55"/>
      <c r="X20" s="84" t="str">
        <f t="shared" si="2"/>
        <v>#DIV/0!</v>
      </c>
      <c r="Y20" s="48"/>
      <c r="Z20" s="48"/>
      <c r="AA20" s="48"/>
    </row>
    <row r="21" ht="15.75" customHeight="1">
      <c r="A21" s="49"/>
      <c r="B21" s="49"/>
      <c r="C21" s="49"/>
      <c r="D21" s="49"/>
      <c r="E21" s="52"/>
      <c r="F21" s="49"/>
      <c r="G21" s="60"/>
      <c r="H21" s="60"/>
      <c r="I21" s="60"/>
      <c r="J21" s="60"/>
      <c r="K21" s="60"/>
      <c r="L21" s="54"/>
      <c r="M21" s="49"/>
      <c r="N21" s="52"/>
      <c r="O21" s="83"/>
      <c r="P21" s="83"/>
      <c r="Q21" s="83"/>
      <c r="R21" s="55"/>
      <c r="S21" s="52"/>
      <c r="T21" s="52"/>
      <c r="U21" s="55" t="str">
        <f t="shared" si="1"/>
        <v>#DIV/0!</v>
      </c>
      <c r="V21" s="49"/>
      <c r="W21" s="55"/>
      <c r="X21" s="84" t="str">
        <f t="shared" si="2"/>
        <v>#DIV/0!</v>
      </c>
      <c r="Y21" s="48"/>
      <c r="Z21" s="48"/>
      <c r="AA21" s="48"/>
    </row>
    <row r="22" ht="15.75" customHeight="1">
      <c r="A22" s="49"/>
      <c r="B22" s="49"/>
      <c r="C22" s="49"/>
      <c r="D22" s="49"/>
      <c r="E22" s="52"/>
      <c r="F22" s="49"/>
      <c r="G22" s="60"/>
      <c r="H22" s="60"/>
      <c r="I22" s="60"/>
      <c r="J22" s="60"/>
      <c r="K22" s="60"/>
      <c r="L22" s="54"/>
      <c r="M22" s="49"/>
      <c r="N22" s="52"/>
      <c r="O22" s="83"/>
      <c r="P22" s="83"/>
      <c r="Q22" s="83"/>
      <c r="R22" s="55"/>
      <c r="S22" s="52"/>
      <c r="T22" s="52"/>
      <c r="U22" s="55" t="str">
        <f t="shared" si="1"/>
        <v>#DIV/0!</v>
      </c>
      <c r="V22" s="49"/>
      <c r="W22" s="55"/>
      <c r="X22" s="84" t="str">
        <f t="shared" si="2"/>
        <v>#DIV/0!</v>
      </c>
      <c r="Y22" s="48"/>
      <c r="Z22" s="48"/>
      <c r="AA22" s="48"/>
    </row>
    <row r="23" ht="15.75" customHeight="1">
      <c r="A23" s="49"/>
      <c r="B23" s="49"/>
      <c r="C23" s="49"/>
      <c r="D23" s="49"/>
      <c r="E23" s="52"/>
      <c r="F23" s="49"/>
      <c r="G23" s="60"/>
      <c r="H23" s="60"/>
      <c r="I23" s="60"/>
      <c r="J23" s="60"/>
      <c r="K23" s="60"/>
      <c r="L23" s="54"/>
      <c r="M23" s="49"/>
      <c r="N23" s="52"/>
      <c r="O23" s="83"/>
      <c r="P23" s="83"/>
      <c r="Q23" s="83"/>
      <c r="R23" s="55"/>
      <c r="S23" s="52"/>
      <c r="T23" s="52"/>
      <c r="U23" s="55" t="str">
        <f t="shared" si="1"/>
        <v>#DIV/0!</v>
      </c>
      <c r="V23" s="49"/>
      <c r="W23" s="55"/>
      <c r="X23" s="84" t="str">
        <f t="shared" si="2"/>
        <v>#DIV/0!</v>
      </c>
      <c r="Y23" s="48"/>
      <c r="Z23" s="48"/>
      <c r="AA23" s="48"/>
    </row>
    <row r="24" ht="15.75" customHeight="1">
      <c r="A24" s="49"/>
      <c r="B24" s="49"/>
      <c r="C24" s="49"/>
      <c r="D24" s="49"/>
      <c r="E24" s="52"/>
      <c r="F24" s="49"/>
      <c r="G24" s="60"/>
      <c r="H24" s="60"/>
      <c r="I24" s="60"/>
      <c r="J24" s="60"/>
      <c r="K24" s="60"/>
      <c r="L24" s="54"/>
      <c r="M24" s="49"/>
      <c r="N24" s="52"/>
      <c r="O24" s="83"/>
      <c r="P24" s="83"/>
      <c r="Q24" s="83"/>
      <c r="R24" s="55"/>
      <c r="S24" s="52"/>
      <c r="T24" s="52"/>
      <c r="U24" s="55" t="str">
        <f t="shared" si="1"/>
        <v>#DIV/0!</v>
      </c>
      <c r="V24" s="49"/>
      <c r="W24" s="55"/>
      <c r="X24" s="84" t="str">
        <f t="shared" si="2"/>
        <v>#DIV/0!</v>
      </c>
      <c r="Y24" s="48"/>
      <c r="Z24" s="48"/>
      <c r="AA24" s="48"/>
    </row>
    <row r="25" ht="15.75" customHeight="1">
      <c r="A25" s="49"/>
      <c r="B25" s="49"/>
      <c r="C25" s="49"/>
      <c r="D25" s="49"/>
      <c r="E25" s="52"/>
      <c r="F25" s="49"/>
      <c r="G25" s="60"/>
      <c r="H25" s="60"/>
      <c r="I25" s="60"/>
      <c r="J25" s="60"/>
      <c r="K25" s="60"/>
      <c r="L25" s="54"/>
      <c r="M25" s="49"/>
      <c r="N25" s="52"/>
      <c r="O25" s="83"/>
      <c r="P25" s="83"/>
      <c r="Q25" s="83"/>
      <c r="R25" s="55"/>
      <c r="S25" s="52"/>
      <c r="T25" s="52"/>
      <c r="U25" s="55" t="str">
        <f t="shared" si="1"/>
        <v>#DIV/0!</v>
      </c>
      <c r="V25" s="49"/>
      <c r="W25" s="55"/>
      <c r="X25" s="84" t="str">
        <f t="shared" si="2"/>
        <v>#DIV/0!</v>
      </c>
      <c r="Y25" s="48"/>
      <c r="Z25" s="48"/>
      <c r="AA25" s="48"/>
    </row>
    <row r="26" ht="15.75" customHeight="1">
      <c r="A26" s="49"/>
      <c r="B26" s="49"/>
      <c r="C26" s="49"/>
      <c r="D26" s="49"/>
      <c r="E26" s="52"/>
      <c r="F26" s="49"/>
      <c r="G26" s="60"/>
      <c r="H26" s="60"/>
      <c r="I26" s="60"/>
      <c r="J26" s="60"/>
      <c r="K26" s="60"/>
      <c r="L26" s="54"/>
      <c r="M26" s="49"/>
      <c r="N26" s="52"/>
      <c r="O26" s="83"/>
      <c r="P26" s="83"/>
      <c r="Q26" s="83"/>
      <c r="R26" s="55"/>
      <c r="S26" s="52"/>
      <c r="T26" s="52"/>
      <c r="U26" s="55" t="str">
        <f t="shared" si="1"/>
        <v>#DIV/0!</v>
      </c>
      <c r="V26" s="49"/>
      <c r="W26" s="55"/>
      <c r="X26" s="84" t="str">
        <f t="shared" si="2"/>
        <v>#DIV/0!</v>
      </c>
      <c r="Y26" s="48"/>
      <c r="Z26" s="48"/>
      <c r="AA26" s="48"/>
    </row>
    <row r="27" ht="15.75" customHeight="1">
      <c r="A27" s="49"/>
      <c r="B27" s="49"/>
      <c r="C27" s="49"/>
      <c r="D27" s="49"/>
      <c r="E27" s="52"/>
      <c r="F27" s="49"/>
      <c r="G27" s="60"/>
      <c r="H27" s="60"/>
      <c r="I27" s="60"/>
      <c r="J27" s="60"/>
      <c r="K27" s="60"/>
      <c r="L27" s="54"/>
      <c r="M27" s="49"/>
      <c r="N27" s="52"/>
      <c r="O27" s="83"/>
      <c r="P27" s="83"/>
      <c r="Q27" s="83"/>
      <c r="R27" s="55"/>
      <c r="S27" s="52"/>
      <c r="T27" s="52"/>
      <c r="U27" s="55" t="str">
        <f t="shared" si="1"/>
        <v>#DIV/0!</v>
      </c>
      <c r="V27" s="49"/>
      <c r="W27" s="55"/>
      <c r="X27" s="84" t="str">
        <f t="shared" si="2"/>
        <v>#DIV/0!</v>
      </c>
      <c r="Y27" s="48"/>
      <c r="Z27" s="48"/>
      <c r="AA27" s="48"/>
    </row>
    <row r="28" ht="15.75" customHeight="1">
      <c r="A28" s="49"/>
      <c r="B28" s="49"/>
      <c r="C28" s="49"/>
      <c r="D28" s="49"/>
      <c r="E28" s="52"/>
      <c r="F28" s="49"/>
      <c r="G28" s="60"/>
      <c r="H28" s="60"/>
      <c r="I28" s="60"/>
      <c r="J28" s="60"/>
      <c r="K28" s="60"/>
      <c r="L28" s="54"/>
      <c r="M28" s="49"/>
      <c r="N28" s="52"/>
      <c r="O28" s="83"/>
      <c r="P28" s="83"/>
      <c r="Q28" s="83"/>
      <c r="R28" s="55"/>
      <c r="S28" s="52"/>
      <c r="T28" s="52"/>
      <c r="U28" s="55" t="str">
        <f t="shared" si="1"/>
        <v>#DIV/0!</v>
      </c>
      <c r="V28" s="49"/>
      <c r="W28" s="55"/>
      <c r="X28" s="84" t="str">
        <f t="shared" si="2"/>
        <v>#DIV/0!</v>
      </c>
      <c r="Y28" s="48"/>
      <c r="Z28" s="48"/>
      <c r="AA28" s="48"/>
    </row>
    <row r="29" ht="15.75" customHeight="1">
      <c r="A29" s="49"/>
      <c r="B29" s="49"/>
      <c r="C29" s="49"/>
      <c r="D29" s="49"/>
      <c r="E29" s="52"/>
      <c r="F29" s="49"/>
      <c r="G29" s="60"/>
      <c r="H29" s="60"/>
      <c r="I29" s="60"/>
      <c r="J29" s="60"/>
      <c r="K29" s="60"/>
      <c r="L29" s="54"/>
      <c r="M29" s="49"/>
      <c r="N29" s="52"/>
      <c r="O29" s="83"/>
      <c r="P29" s="83"/>
      <c r="Q29" s="83"/>
      <c r="R29" s="55"/>
      <c r="S29" s="52"/>
      <c r="T29" s="52"/>
      <c r="U29" s="55" t="str">
        <f t="shared" si="1"/>
        <v>#DIV/0!</v>
      </c>
      <c r="V29" s="49"/>
      <c r="W29" s="55"/>
      <c r="X29" s="84" t="str">
        <f t="shared" si="2"/>
        <v>#DIV/0!</v>
      </c>
      <c r="Y29" s="48"/>
      <c r="Z29" s="48"/>
      <c r="AA29" s="48"/>
    </row>
    <row r="30" ht="15.75" customHeight="1">
      <c r="A30" s="49"/>
      <c r="B30" s="49"/>
      <c r="C30" s="49"/>
      <c r="D30" s="49"/>
      <c r="E30" s="52"/>
      <c r="F30" s="49"/>
      <c r="G30" s="60"/>
      <c r="H30" s="60"/>
      <c r="I30" s="60"/>
      <c r="J30" s="60"/>
      <c r="K30" s="60"/>
      <c r="L30" s="54"/>
      <c r="M30" s="49"/>
      <c r="N30" s="52"/>
      <c r="O30" s="83"/>
      <c r="P30" s="83"/>
      <c r="Q30" s="83"/>
      <c r="R30" s="55"/>
      <c r="S30" s="52"/>
      <c r="T30" s="52"/>
      <c r="U30" s="55" t="str">
        <f t="shared" si="1"/>
        <v>#DIV/0!</v>
      </c>
      <c r="V30" s="49"/>
      <c r="W30" s="55"/>
      <c r="X30" s="84" t="str">
        <f t="shared" si="2"/>
        <v>#DIV/0!</v>
      </c>
      <c r="Y30" s="48"/>
      <c r="Z30" s="48"/>
      <c r="AA30" s="48"/>
    </row>
    <row r="31" ht="15.75" customHeight="1">
      <c r="A31" s="49"/>
      <c r="B31" s="49"/>
      <c r="C31" s="49"/>
      <c r="D31" s="49"/>
      <c r="E31" s="52"/>
      <c r="F31" s="49"/>
      <c r="G31" s="60"/>
      <c r="H31" s="60"/>
      <c r="I31" s="60"/>
      <c r="J31" s="60"/>
      <c r="K31" s="60"/>
      <c r="L31" s="54"/>
      <c r="M31" s="49"/>
      <c r="N31" s="52"/>
      <c r="O31" s="83"/>
      <c r="P31" s="83"/>
      <c r="Q31" s="83"/>
      <c r="R31" s="55"/>
      <c r="S31" s="52"/>
      <c r="T31" s="52"/>
      <c r="U31" s="55" t="str">
        <f t="shared" si="1"/>
        <v>#DIV/0!</v>
      </c>
      <c r="V31" s="49"/>
      <c r="W31" s="55"/>
      <c r="X31" s="84" t="str">
        <f t="shared" si="2"/>
        <v>#DIV/0!</v>
      </c>
      <c r="Y31" s="48"/>
      <c r="Z31" s="48"/>
      <c r="AA31" s="48"/>
    </row>
    <row r="32" ht="15.75" customHeight="1">
      <c r="A32" s="49"/>
      <c r="B32" s="49"/>
      <c r="C32" s="49"/>
      <c r="D32" s="49"/>
      <c r="E32" s="52"/>
      <c r="F32" s="49"/>
      <c r="G32" s="60"/>
      <c r="H32" s="60"/>
      <c r="I32" s="60"/>
      <c r="J32" s="60"/>
      <c r="K32" s="60"/>
      <c r="L32" s="54"/>
      <c r="M32" s="49"/>
      <c r="N32" s="52"/>
      <c r="O32" s="83"/>
      <c r="P32" s="83"/>
      <c r="Q32" s="83"/>
      <c r="R32" s="55"/>
      <c r="S32" s="52"/>
      <c r="T32" s="52"/>
      <c r="U32" s="55" t="str">
        <f t="shared" si="1"/>
        <v>#DIV/0!</v>
      </c>
      <c r="V32" s="49"/>
      <c r="W32" s="55"/>
      <c r="X32" s="84" t="str">
        <f t="shared" si="2"/>
        <v>#DIV/0!</v>
      </c>
      <c r="Y32" s="48"/>
      <c r="Z32" s="48"/>
      <c r="AA32" s="48"/>
    </row>
    <row r="33" ht="15.75" customHeight="1">
      <c r="A33" s="49"/>
      <c r="B33" s="49"/>
      <c r="C33" s="49"/>
      <c r="D33" s="49"/>
      <c r="E33" s="52"/>
      <c r="F33" s="49"/>
      <c r="G33" s="60"/>
      <c r="H33" s="60"/>
      <c r="I33" s="60"/>
      <c r="J33" s="60"/>
      <c r="K33" s="60"/>
      <c r="L33" s="54"/>
      <c r="M33" s="49"/>
      <c r="N33" s="52"/>
      <c r="O33" s="83"/>
      <c r="P33" s="83"/>
      <c r="Q33" s="83"/>
      <c r="R33" s="55"/>
      <c r="S33" s="52"/>
      <c r="T33" s="52"/>
      <c r="U33" s="55" t="str">
        <f t="shared" si="1"/>
        <v>#DIV/0!</v>
      </c>
      <c r="V33" s="49"/>
      <c r="W33" s="55"/>
      <c r="X33" s="84" t="str">
        <f t="shared" si="2"/>
        <v>#DIV/0!</v>
      </c>
      <c r="Y33" s="48"/>
      <c r="Z33" s="48"/>
      <c r="AA33" s="48"/>
    </row>
    <row r="34" ht="15.75" customHeight="1">
      <c r="A34" s="49"/>
      <c r="B34" s="49"/>
      <c r="C34" s="49"/>
      <c r="D34" s="49"/>
      <c r="E34" s="52"/>
      <c r="F34" s="49"/>
      <c r="G34" s="60"/>
      <c r="H34" s="60"/>
      <c r="I34" s="60"/>
      <c r="J34" s="60"/>
      <c r="K34" s="60"/>
      <c r="L34" s="54"/>
      <c r="M34" s="49"/>
      <c r="N34" s="52"/>
      <c r="O34" s="83"/>
      <c r="P34" s="83"/>
      <c r="Q34" s="83"/>
      <c r="R34" s="55"/>
      <c r="S34" s="52"/>
      <c r="T34" s="52"/>
      <c r="U34" s="55" t="str">
        <f t="shared" si="1"/>
        <v>#DIV/0!</v>
      </c>
      <c r="V34" s="49"/>
      <c r="W34" s="55"/>
      <c r="X34" s="84" t="str">
        <f t="shared" si="2"/>
        <v>#DIV/0!</v>
      </c>
      <c r="Y34" s="48"/>
      <c r="Z34" s="48"/>
      <c r="AA34" s="48"/>
    </row>
    <row r="35" ht="15.75" customHeight="1">
      <c r="A35" s="49"/>
      <c r="B35" s="49"/>
      <c r="C35" s="49"/>
      <c r="D35" s="49"/>
      <c r="E35" s="52"/>
      <c r="F35" s="49"/>
      <c r="G35" s="60"/>
      <c r="H35" s="60"/>
      <c r="I35" s="60"/>
      <c r="J35" s="60"/>
      <c r="K35" s="60"/>
      <c r="L35" s="54"/>
      <c r="M35" s="49"/>
      <c r="N35" s="52"/>
      <c r="O35" s="83"/>
      <c r="P35" s="83"/>
      <c r="Q35" s="83"/>
      <c r="R35" s="55"/>
      <c r="S35" s="52"/>
      <c r="T35" s="52"/>
      <c r="U35" s="55" t="str">
        <f t="shared" si="1"/>
        <v>#DIV/0!</v>
      </c>
      <c r="V35" s="49"/>
      <c r="W35" s="55"/>
      <c r="X35" s="84" t="str">
        <f t="shared" si="2"/>
        <v>#DIV/0!</v>
      </c>
      <c r="Y35" s="48"/>
      <c r="Z35" s="48"/>
      <c r="AA35" s="48"/>
    </row>
    <row r="36" ht="15.75" customHeight="1">
      <c r="A36" s="49"/>
      <c r="B36" s="49"/>
      <c r="C36" s="49"/>
      <c r="D36" s="49"/>
      <c r="E36" s="52"/>
      <c r="F36" s="49"/>
      <c r="G36" s="60"/>
      <c r="H36" s="60"/>
      <c r="I36" s="60"/>
      <c r="J36" s="60"/>
      <c r="K36" s="60"/>
      <c r="L36" s="54"/>
      <c r="M36" s="49"/>
      <c r="N36" s="52"/>
      <c r="O36" s="83"/>
      <c r="P36" s="83"/>
      <c r="Q36" s="83"/>
      <c r="R36" s="55"/>
      <c r="S36" s="52"/>
      <c r="T36" s="52"/>
      <c r="U36" s="55" t="str">
        <f t="shared" si="1"/>
        <v>#DIV/0!</v>
      </c>
      <c r="V36" s="49"/>
      <c r="W36" s="55"/>
      <c r="X36" s="84" t="str">
        <f t="shared" si="2"/>
        <v>#DIV/0!</v>
      </c>
      <c r="Y36" s="48"/>
      <c r="Z36" s="48"/>
      <c r="AA36" s="48"/>
    </row>
    <row r="37" ht="15.75" customHeight="1">
      <c r="A37" s="49"/>
      <c r="B37" s="49"/>
      <c r="C37" s="49"/>
      <c r="D37" s="49"/>
      <c r="E37" s="52"/>
      <c r="F37" s="49"/>
      <c r="G37" s="60"/>
      <c r="H37" s="60"/>
      <c r="I37" s="60"/>
      <c r="J37" s="60"/>
      <c r="K37" s="60"/>
      <c r="L37" s="54"/>
      <c r="M37" s="49"/>
      <c r="N37" s="52"/>
      <c r="O37" s="83"/>
      <c r="P37" s="83"/>
      <c r="Q37" s="83"/>
      <c r="R37" s="55"/>
      <c r="S37" s="52"/>
      <c r="T37" s="52"/>
      <c r="U37" s="55" t="str">
        <f t="shared" si="1"/>
        <v>#DIV/0!</v>
      </c>
      <c r="V37" s="49"/>
      <c r="W37" s="55"/>
      <c r="X37" s="84" t="str">
        <f t="shared" si="2"/>
        <v>#DIV/0!</v>
      </c>
      <c r="Y37" s="48"/>
      <c r="Z37" s="48"/>
      <c r="AA37" s="48"/>
    </row>
    <row r="38" ht="15.75" customHeight="1">
      <c r="A38" s="49"/>
      <c r="B38" s="49"/>
      <c r="C38" s="49"/>
      <c r="D38" s="49"/>
      <c r="E38" s="52"/>
      <c r="F38" s="49"/>
      <c r="G38" s="60"/>
      <c r="H38" s="60"/>
      <c r="I38" s="60"/>
      <c r="J38" s="60"/>
      <c r="K38" s="60"/>
      <c r="L38" s="54"/>
      <c r="M38" s="49"/>
      <c r="N38" s="52"/>
      <c r="O38" s="83"/>
      <c r="P38" s="83"/>
      <c r="Q38" s="83"/>
      <c r="R38" s="55"/>
      <c r="S38" s="52"/>
      <c r="T38" s="52"/>
      <c r="U38" s="55" t="str">
        <f t="shared" si="1"/>
        <v>#DIV/0!</v>
      </c>
      <c r="V38" s="49"/>
      <c r="W38" s="55"/>
      <c r="X38" s="84" t="str">
        <f t="shared" si="2"/>
        <v>#DIV/0!</v>
      </c>
      <c r="Y38" s="48"/>
      <c r="Z38" s="48"/>
      <c r="AA38" s="48"/>
    </row>
    <row r="39" ht="15.75" customHeight="1">
      <c r="A39" s="49"/>
      <c r="B39" s="49"/>
      <c r="C39" s="49"/>
      <c r="D39" s="49"/>
      <c r="E39" s="52"/>
      <c r="F39" s="49"/>
      <c r="G39" s="60"/>
      <c r="H39" s="60"/>
      <c r="I39" s="60"/>
      <c r="J39" s="60"/>
      <c r="K39" s="60"/>
      <c r="L39" s="54"/>
      <c r="M39" s="49"/>
      <c r="N39" s="52"/>
      <c r="O39" s="83"/>
      <c r="P39" s="83"/>
      <c r="Q39" s="83"/>
      <c r="R39" s="55"/>
      <c r="S39" s="52"/>
      <c r="T39" s="52"/>
      <c r="U39" s="55" t="str">
        <f t="shared" si="1"/>
        <v>#DIV/0!</v>
      </c>
      <c r="V39" s="49"/>
      <c r="W39" s="55"/>
      <c r="X39" s="84" t="str">
        <f t="shared" si="2"/>
        <v>#DIV/0!</v>
      </c>
      <c r="Y39" s="48"/>
      <c r="Z39" s="48"/>
      <c r="AA39" s="48"/>
    </row>
    <row r="40" ht="15.75" customHeight="1">
      <c r="A40" s="49"/>
      <c r="B40" s="49"/>
      <c r="C40" s="49"/>
      <c r="D40" s="49"/>
      <c r="E40" s="52"/>
      <c r="F40" s="49"/>
      <c r="G40" s="60"/>
      <c r="H40" s="60"/>
      <c r="I40" s="60"/>
      <c r="J40" s="60"/>
      <c r="K40" s="60"/>
      <c r="L40" s="54"/>
      <c r="M40" s="49"/>
      <c r="N40" s="52"/>
      <c r="O40" s="83"/>
      <c r="P40" s="83"/>
      <c r="Q40" s="83"/>
      <c r="R40" s="55"/>
      <c r="S40" s="52"/>
      <c r="T40" s="52"/>
      <c r="U40" s="55" t="str">
        <f t="shared" si="1"/>
        <v>#DIV/0!</v>
      </c>
      <c r="V40" s="49"/>
      <c r="W40" s="55"/>
      <c r="X40" s="84" t="str">
        <f t="shared" si="2"/>
        <v>#DIV/0!</v>
      </c>
      <c r="Y40" s="48"/>
      <c r="Z40" s="48"/>
      <c r="AA40" s="48"/>
    </row>
    <row r="41" ht="15.75" customHeight="1">
      <c r="A41" s="49"/>
      <c r="B41" s="49"/>
      <c r="C41" s="49"/>
      <c r="D41" s="49"/>
      <c r="E41" s="52"/>
      <c r="F41" s="49"/>
      <c r="G41" s="60"/>
      <c r="H41" s="60"/>
      <c r="I41" s="60"/>
      <c r="J41" s="60"/>
      <c r="K41" s="60"/>
      <c r="L41" s="54"/>
      <c r="M41" s="49"/>
      <c r="N41" s="52"/>
      <c r="O41" s="83"/>
      <c r="P41" s="83"/>
      <c r="Q41" s="83"/>
      <c r="R41" s="55"/>
      <c r="S41" s="52"/>
      <c r="T41" s="52"/>
      <c r="U41" s="55" t="str">
        <f t="shared" si="1"/>
        <v>#DIV/0!</v>
      </c>
      <c r="V41" s="49"/>
      <c r="W41" s="55"/>
      <c r="X41" s="84" t="str">
        <f t="shared" si="2"/>
        <v>#DIV/0!</v>
      </c>
      <c r="Y41" s="48"/>
      <c r="Z41" s="48"/>
      <c r="AA41" s="48"/>
    </row>
    <row r="42" ht="15.75" customHeight="1">
      <c r="A42" s="49"/>
      <c r="B42" s="49"/>
      <c r="C42" s="49"/>
      <c r="D42" s="49"/>
      <c r="E42" s="52"/>
      <c r="F42" s="49"/>
      <c r="G42" s="60"/>
      <c r="H42" s="60"/>
      <c r="I42" s="60"/>
      <c r="J42" s="60"/>
      <c r="K42" s="60"/>
      <c r="L42" s="54"/>
      <c r="M42" s="49"/>
      <c r="N42" s="52"/>
      <c r="O42" s="83"/>
      <c r="P42" s="83"/>
      <c r="Q42" s="83"/>
      <c r="R42" s="55"/>
      <c r="S42" s="52"/>
      <c r="T42" s="52"/>
      <c r="U42" s="55" t="str">
        <f t="shared" si="1"/>
        <v>#DIV/0!</v>
      </c>
      <c r="V42" s="49"/>
      <c r="W42" s="55"/>
      <c r="X42" s="84" t="str">
        <f t="shared" si="2"/>
        <v>#DIV/0!</v>
      </c>
      <c r="Y42" s="48"/>
      <c r="Z42" s="48"/>
      <c r="AA42" s="48"/>
    </row>
    <row r="43" ht="15.75" customHeight="1">
      <c r="A43" s="49"/>
      <c r="B43" s="49"/>
      <c r="C43" s="49"/>
      <c r="D43" s="49"/>
      <c r="E43" s="52"/>
      <c r="F43" s="49"/>
      <c r="G43" s="60"/>
      <c r="H43" s="60"/>
      <c r="I43" s="60"/>
      <c r="J43" s="60"/>
      <c r="K43" s="60"/>
      <c r="L43" s="54"/>
      <c r="M43" s="49"/>
      <c r="N43" s="52"/>
      <c r="O43" s="83"/>
      <c r="P43" s="83"/>
      <c r="Q43" s="83"/>
      <c r="R43" s="55"/>
      <c r="S43" s="52"/>
      <c r="T43" s="52"/>
      <c r="U43" s="55" t="str">
        <f t="shared" si="1"/>
        <v>#DIV/0!</v>
      </c>
      <c r="V43" s="49"/>
      <c r="W43" s="55"/>
      <c r="X43" s="84" t="str">
        <f t="shared" si="2"/>
        <v>#DIV/0!</v>
      </c>
      <c r="Y43" s="48"/>
      <c r="Z43" s="48"/>
      <c r="AA43" s="48"/>
    </row>
    <row r="44" ht="15.75" customHeight="1">
      <c r="A44" s="49"/>
      <c r="B44" s="49"/>
      <c r="C44" s="49"/>
      <c r="D44" s="49"/>
      <c r="E44" s="52"/>
      <c r="F44" s="49"/>
      <c r="G44" s="60"/>
      <c r="H44" s="60"/>
      <c r="I44" s="60"/>
      <c r="J44" s="60"/>
      <c r="K44" s="60"/>
      <c r="L44" s="54"/>
      <c r="M44" s="49"/>
      <c r="N44" s="52"/>
      <c r="O44" s="83"/>
      <c r="P44" s="83"/>
      <c r="Q44" s="83"/>
      <c r="R44" s="55"/>
      <c r="S44" s="52"/>
      <c r="T44" s="52"/>
      <c r="U44" s="55" t="str">
        <f t="shared" si="1"/>
        <v>#DIV/0!</v>
      </c>
      <c r="V44" s="49"/>
      <c r="W44" s="55"/>
      <c r="X44" s="84" t="str">
        <f t="shared" si="2"/>
        <v>#DIV/0!</v>
      </c>
      <c r="Y44" s="48"/>
      <c r="Z44" s="48"/>
      <c r="AA44" s="48"/>
    </row>
    <row r="45" ht="15.75" customHeight="1">
      <c r="A45" s="49"/>
      <c r="B45" s="49"/>
      <c r="C45" s="49"/>
      <c r="D45" s="49"/>
      <c r="E45" s="52"/>
      <c r="F45" s="49"/>
      <c r="G45" s="60"/>
      <c r="H45" s="60"/>
      <c r="I45" s="60"/>
      <c r="J45" s="60"/>
      <c r="K45" s="60"/>
      <c r="L45" s="54"/>
      <c r="M45" s="49"/>
      <c r="N45" s="52"/>
      <c r="O45" s="83"/>
      <c r="P45" s="83"/>
      <c r="Q45" s="83"/>
      <c r="R45" s="55"/>
      <c r="S45" s="52"/>
      <c r="T45" s="52"/>
      <c r="U45" s="55" t="str">
        <f t="shared" si="1"/>
        <v>#DIV/0!</v>
      </c>
      <c r="V45" s="49"/>
      <c r="W45" s="55"/>
      <c r="X45" s="84" t="str">
        <f t="shared" si="2"/>
        <v>#DIV/0!</v>
      </c>
      <c r="Y45" s="48"/>
      <c r="Z45" s="48"/>
      <c r="AA45" s="48"/>
    </row>
    <row r="46" ht="15.75" customHeight="1">
      <c r="A46" s="49"/>
      <c r="B46" s="49"/>
      <c r="C46" s="49"/>
      <c r="D46" s="49"/>
      <c r="E46" s="52"/>
      <c r="F46" s="49"/>
      <c r="G46" s="60"/>
      <c r="H46" s="60"/>
      <c r="I46" s="60"/>
      <c r="J46" s="60"/>
      <c r="K46" s="60"/>
      <c r="L46" s="54"/>
      <c r="M46" s="49"/>
      <c r="N46" s="52"/>
      <c r="O46" s="83"/>
      <c r="P46" s="83"/>
      <c r="Q46" s="83"/>
      <c r="R46" s="55">
        <f t="shared" ref="R46:S46" si="3">sum(R47:R49)</f>
        <v>0</v>
      </c>
      <c r="S46" s="52">
        <f t="shared" si="3"/>
        <v>0</v>
      </c>
      <c r="T46" s="52"/>
      <c r="U46" s="55" t="str">
        <f t="shared" si="1"/>
        <v>#DIV/0!</v>
      </c>
      <c r="V46" s="49"/>
      <c r="W46" s="55"/>
      <c r="X46" s="84" t="str">
        <f t="shared" si="2"/>
        <v>#DIV/0!</v>
      </c>
      <c r="Y46" s="48"/>
      <c r="Z46" s="48"/>
      <c r="AA46" s="48"/>
    </row>
    <row r="47" ht="15.75" customHeight="1">
      <c r="A47" s="49"/>
      <c r="B47" s="49"/>
      <c r="C47" s="49"/>
      <c r="D47" s="49"/>
      <c r="E47" s="52"/>
      <c r="F47" s="49"/>
      <c r="G47" s="60"/>
      <c r="H47" s="60"/>
      <c r="I47" s="60"/>
      <c r="J47" s="60"/>
      <c r="K47" s="60"/>
      <c r="L47" s="54"/>
      <c r="M47" s="49"/>
      <c r="N47" s="52"/>
      <c r="O47" s="83"/>
      <c r="P47" s="83"/>
      <c r="Q47" s="83"/>
      <c r="R47" s="55">
        <f t="shared" ref="R47:S47" si="4">sum(R48:R50)</f>
        <v>0</v>
      </c>
      <c r="S47" s="52">
        <f t="shared" si="4"/>
        <v>0</v>
      </c>
      <c r="T47" s="52"/>
      <c r="U47" s="55" t="str">
        <f t="shared" si="1"/>
        <v>#DIV/0!</v>
      </c>
      <c r="V47" s="49"/>
      <c r="W47" s="55"/>
      <c r="X47" s="84" t="str">
        <f t="shared" si="2"/>
        <v>#DIV/0!</v>
      </c>
      <c r="Y47" s="48"/>
      <c r="Z47" s="48"/>
      <c r="AA47" s="48"/>
    </row>
    <row r="48" ht="15.75" customHeight="1">
      <c r="A48" s="49"/>
      <c r="B48" s="49"/>
      <c r="C48" s="49"/>
      <c r="D48" s="49"/>
      <c r="E48" s="52"/>
      <c r="F48" s="49"/>
      <c r="G48" s="60"/>
      <c r="H48" s="60"/>
      <c r="I48" s="60"/>
      <c r="J48" s="60"/>
      <c r="K48" s="60"/>
      <c r="L48" s="54"/>
      <c r="M48" s="49"/>
      <c r="N48" s="52"/>
      <c r="O48" s="83"/>
      <c r="P48" s="83"/>
      <c r="Q48" s="83"/>
      <c r="R48" s="55">
        <f t="shared" ref="R48:S48" si="5">sum(R49:R51)</f>
        <v>0</v>
      </c>
      <c r="S48" s="52">
        <f t="shared" si="5"/>
        <v>0</v>
      </c>
      <c r="T48" s="52"/>
      <c r="U48" s="55" t="str">
        <f t="shared" si="1"/>
        <v>#DIV/0!</v>
      </c>
      <c r="V48" s="49"/>
      <c r="W48" s="55"/>
      <c r="X48" s="84" t="str">
        <f t="shared" si="2"/>
        <v>#DIV/0!</v>
      </c>
      <c r="Y48" s="48"/>
      <c r="Z48" s="48"/>
      <c r="AA48" s="48"/>
    </row>
    <row r="49" ht="15.75" customHeight="1">
      <c r="A49" s="49"/>
      <c r="B49" s="49"/>
      <c r="C49" s="49"/>
      <c r="D49" s="49"/>
      <c r="E49" s="52"/>
      <c r="F49" s="49"/>
      <c r="G49" s="60"/>
      <c r="H49" s="60"/>
      <c r="I49" s="60"/>
      <c r="J49" s="60"/>
      <c r="K49" s="60"/>
      <c r="L49" s="54"/>
      <c r="M49" s="49"/>
      <c r="N49" s="52"/>
      <c r="O49" s="83"/>
      <c r="P49" s="83"/>
      <c r="Q49" s="83"/>
      <c r="R49" s="55"/>
      <c r="S49" s="52"/>
      <c r="T49" s="52"/>
      <c r="U49" s="65"/>
      <c r="V49" s="49"/>
      <c r="W49" s="55"/>
      <c r="X49" s="99"/>
      <c r="Y49" s="48"/>
      <c r="Z49" s="48"/>
      <c r="AA49" s="48"/>
    </row>
    <row r="50" ht="15.75" customHeight="1">
      <c r="A50" s="85"/>
      <c r="B50" s="85"/>
      <c r="C50" s="86"/>
      <c r="D50" s="86"/>
      <c r="E50" s="87"/>
      <c r="F50" s="86"/>
      <c r="G50" s="91"/>
      <c r="H50" s="91"/>
      <c r="I50" s="91"/>
      <c r="J50" s="91"/>
      <c r="K50" s="91"/>
      <c r="L50" s="88"/>
      <c r="M50" s="86"/>
      <c r="N50" s="87"/>
      <c r="O50" s="100"/>
      <c r="P50" s="100"/>
      <c r="Q50" s="100"/>
      <c r="R50" s="89"/>
      <c r="S50" s="87"/>
      <c r="T50" s="87"/>
      <c r="U50" s="89"/>
      <c r="V50" s="86"/>
      <c r="W50" s="89"/>
      <c r="X50" s="101"/>
      <c r="Y50" s="94"/>
      <c r="Z50" s="94"/>
      <c r="AA50" s="94"/>
    </row>
    <row r="51" ht="15.75" customHeight="1">
      <c r="A51" s="28"/>
      <c r="B51" s="28"/>
      <c r="C51" s="28"/>
      <c r="D51" s="28"/>
      <c r="E51" s="45"/>
      <c r="F51" s="28"/>
      <c r="G51" s="95"/>
      <c r="H51" s="95"/>
      <c r="I51" s="95"/>
      <c r="J51" s="95"/>
      <c r="K51" s="95"/>
      <c r="L51" s="50"/>
      <c r="M51" s="28"/>
      <c r="N51" s="45"/>
      <c r="O51" s="102"/>
      <c r="P51" s="102"/>
      <c r="Q51" s="102"/>
      <c r="R51" s="34"/>
      <c r="S51" s="45"/>
      <c r="T51" s="45"/>
      <c r="U51" s="96"/>
      <c r="V51" s="28"/>
      <c r="W51" s="34"/>
      <c r="X51" s="103"/>
      <c r="Y51" s="1"/>
      <c r="Z51" s="1"/>
      <c r="AA51" s="1"/>
    </row>
    <row r="52" ht="15.75" customHeight="1">
      <c r="A52" s="28"/>
      <c r="B52" s="28"/>
      <c r="C52" s="28"/>
      <c r="D52" s="28"/>
      <c r="E52" s="45"/>
      <c r="F52" s="28"/>
      <c r="G52" s="95"/>
      <c r="H52" s="95"/>
      <c r="I52" s="95"/>
      <c r="J52" s="95"/>
      <c r="K52" s="95"/>
      <c r="L52" s="50"/>
      <c r="M52" s="28"/>
      <c r="N52" s="45"/>
      <c r="O52" s="102"/>
      <c r="P52" s="102"/>
      <c r="Q52" s="102"/>
      <c r="R52" s="34"/>
      <c r="S52" s="45"/>
      <c r="T52" s="45"/>
      <c r="U52" s="96"/>
      <c r="V52" s="28"/>
      <c r="W52" s="34"/>
      <c r="X52" s="103"/>
      <c r="Y52" s="1"/>
      <c r="Z52" s="1"/>
      <c r="AA52" s="1"/>
    </row>
    <row r="53" ht="15.75" customHeight="1">
      <c r="A53" s="28"/>
      <c r="B53" s="28"/>
      <c r="C53" s="28"/>
      <c r="D53" s="28"/>
      <c r="E53" s="45"/>
      <c r="F53" s="28"/>
      <c r="G53" s="95"/>
      <c r="H53" s="95"/>
      <c r="I53" s="95"/>
      <c r="J53" s="95"/>
      <c r="K53" s="95"/>
      <c r="L53" s="50"/>
      <c r="M53" s="28"/>
      <c r="N53" s="45"/>
      <c r="O53" s="102"/>
      <c r="P53" s="102"/>
      <c r="Q53" s="102"/>
      <c r="R53" s="34"/>
      <c r="S53" s="45"/>
      <c r="T53" s="45"/>
      <c r="U53" s="96"/>
      <c r="V53" s="28"/>
      <c r="W53" s="34"/>
      <c r="X53" s="103"/>
      <c r="Y53" s="1"/>
      <c r="Z53" s="1"/>
      <c r="AA53" s="1"/>
    </row>
    <row r="54" ht="15.75" customHeight="1">
      <c r="A54" s="28"/>
      <c r="B54" s="28"/>
      <c r="C54" s="28"/>
      <c r="D54" s="28"/>
      <c r="E54" s="45"/>
      <c r="F54" s="28"/>
      <c r="G54" s="95"/>
      <c r="H54" s="95"/>
      <c r="I54" s="95"/>
      <c r="J54" s="95"/>
      <c r="K54" s="95"/>
      <c r="L54" s="50"/>
      <c r="M54" s="28"/>
      <c r="N54" s="45"/>
      <c r="O54" s="102"/>
      <c r="P54" s="102"/>
      <c r="Q54" s="102"/>
      <c r="R54" s="34"/>
      <c r="S54" s="45"/>
      <c r="T54" s="45"/>
      <c r="U54" s="96"/>
      <c r="V54" s="28"/>
      <c r="W54" s="34"/>
      <c r="X54" s="103"/>
      <c r="Y54" s="1"/>
      <c r="Z54" s="1"/>
      <c r="AA54" s="1"/>
    </row>
    <row r="55" ht="15.75" customHeight="1">
      <c r="A55" s="28"/>
      <c r="B55" s="28"/>
      <c r="C55" s="28"/>
      <c r="D55" s="28"/>
      <c r="E55" s="45"/>
      <c r="F55" s="28"/>
      <c r="G55" s="95"/>
      <c r="H55" s="95"/>
      <c r="I55" s="95"/>
      <c r="J55" s="95"/>
      <c r="K55" s="95"/>
      <c r="L55" s="50"/>
      <c r="M55" s="28"/>
      <c r="N55" s="45"/>
      <c r="O55" s="102"/>
      <c r="P55" s="102"/>
      <c r="Q55" s="102"/>
      <c r="R55" s="34"/>
      <c r="S55" s="45"/>
      <c r="T55" s="45"/>
      <c r="U55" s="96"/>
      <c r="V55" s="28"/>
      <c r="W55" s="34"/>
      <c r="X55" s="103"/>
      <c r="Y55" s="1"/>
      <c r="Z55" s="1"/>
      <c r="AA55" s="1"/>
    </row>
    <row r="56" ht="15.75" customHeight="1">
      <c r="A56" s="28"/>
      <c r="B56" s="28"/>
      <c r="C56" s="28"/>
      <c r="D56" s="28"/>
      <c r="E56" s="45"/>
      <c r="F56" s="28"/>
      <c r="G56" s="95"/>
      <c r="H56" s="95"/>
      <c r="I56" s="95"/>
      <c r="J56" s="95"/>
      <c r="K56" s="95"/>
      <c r="L56" s="50"/>
      <c r="M56" s="28"/>
      <c r="N56" s="45"/>
      <c r="O56" s="102"/>
      <c r="P56" s="102"/>
      <c r="Q56" s="102"/>
      <c r="R56" s="34"/>
      <c r="S56" s="45"/>
      <c r="T56" s="45"/>
      <c r="U56" s="96"/>
      <c r="V56" s="28"/>
      <c r="W56" s="34"/>
      <c r="X56" s="103"/>
      <c r="Y56" s="1"/>
      <c r="Z56" s="1"/>
      <c r="AA56" s="1"/>
    </row>
    <row r="57" ht="15.75" customHeight="1">
      <c r="A57" s="28"/>
      <c r="B57" s="28"/>
      <c r="C57" s="28"/>
      <c r="D57" s="28"/>
      <c r="E57" s="45"/>
      <c r="F57" s="28"/>
      <c r="G57" s="95"/>
      <c r="H57" s="95"/>
      <c r="I57" s="95"/>
      <c r="J57" s="95"/>
      <c r="K57" s="95"/>
      <c r="L57" s="50"/>
      <c r="M57" s="28"/>
      <c r="N57" s="45"/>
      <c r="O57" s="102"/>
      <c r="P57" s="102"/>
      <c r="Q57" s="102"/>
      <c r="R57" s="34"/>
      <c r="S57" s="45"/>
      <c r="T57" s="45"/>
      <c r="U57" s="96"/>
      <c r="V57" s="28"/>
      <c r="W57" s="34"/>
      <c r="X57" s="103"/>
      <c r="Y57" s="1"/>
      <c r="Z57" s="1"/>
      <c r="AA57" s="1"/>
    </row>
    <row r="58" ht="15.75" customHeight="1">
      <c r="A58" s="28"/>
      <c r="B58" s="28"/>
      <c r="C58" s="28"/>
      <c r="D58" s="28"/>
      <c r="E58" s="45"/>
      <c r="F58" s="28"/>
      <c r="G58" s="95"/>
      <c r="H58" s="95"/>
      <c r="I58" s="95"/>
      <c r="J58" s="95"/>
      <c r="K58" s="95"/>
      <c r="L58" s="50"/>
      <c r="M58" s="28"/>
      <c r="N58" s="45"/>
      <c r="O58" s="102"/>
      <c r="P58" s="102"/>
      <c r="Q58" s="102"/>
      <c r="R58" s="34"/>
      <c r="S58" s="45"/>
      <c r="T58" s="45"/>
      <c r="U58" s="96"/>
      <c r="V58" s="28"/>
      <c r="W58" s="34"/>
      <c r="X58" s="103"/>
      <c r="Y58" s="1"/>
      <c r="Z58" s="1"/>
      <c r="AA58" s="1"/>
    </row>
    <row r="59" ht="15.75" customHeight="1">
      <c r="A59" s="28"/>
      <c r="B59" s="28"/>
      <c r="C59" s="28"/>
      <c r="D59" s="28"/>
      <c r="E59" s="45"/>
      <c r="F59" s="28"/>
      <c r="G59" s="95"/>
      <c r="H59" s="95"/>
      <c r="I59" s="95"/>
      <c r="J59" s="95"/>
      <c r="K59" s="95"/>
      <c r="L59" s="50"/>
      <c r="M59" s="28"/>
      <c r="N59" s="45"/>
      <c r="O59" s="102"/>
      <c r="P59" s="102"/>
      <c r="Q59" s="102"/>
      <c r="R59" s="34"/>
      <c r="S59" s="45"/>
      <c r="T59" s="45"/>
      <c r="U59" s="96"/>
      <c r="V59" s="28"/>
      <c r="W59" s="34"/>
      <c r="X59" s="103"/>
      <c r="Y59" s="1"/>
      <c r="Z59" s="1"/>
      <c r="AA59" s="1"/>
    </row>
    <row r="60" ht="15.75" customHeight="1">
      <c r="A60" s="28"/>
      <c r="B60" s="28"/>
      <c r="C60" s="28"/>
      <c r="D60" s="28"/>
      <c r="E60" s="45"/>
      <c r="F60" s="28"/>
      <c r="G60" s="95"/>
      <c r="H60" s="95"/>
      <c r="I60" s="95"/>
      <c r="J60" s="95"/>
      <c r="K60" s="95"/>
      <c r="L60" s="50"/>
      <c r="M60" s="28"/>
      <c r="N60" s="45"/>
      <c r="O60" s="102"/>
      <c r="P60" s="102"/>
      <c r="Q60" s="102"/>
      <c r="R60" s="34"/>
      <c r="S60" s="45"/>
      <c r="T60" s="45"/>
      <c r="U60" s="96"/>
      <c r="V60" s="28"/>
      <c r="W60" s="34"/>
      <c r="X60" s="103"/>
      <c r="Y60" s="1"/>
      <c r="Z60" s="1"/>
      <c r="AA60" s="1"/>
    </row>
    <row r="61" ht="15.75" customHeight="1">
      <c r="A61" s="28"/>
      <c r="B61" s="28"/>
      <c r="C61" s="28"/>
      <c r="D61" s="28"/>
      <c r="E61" s="45"/>
      <c r="F61" s="28"/>
      <c r="G61" s="95"/>
      <c r="H61" s="95"/>
      <c r="I61" s="95"/>
      <c r="J61" s="95"/>
      <c r="K61" s="95"/>
      <c r="L61" s="50"/>
      <c r="M61" s="28"/>
      <c r="N61" s="45"/>
      <c r="O61" s="102"/>
      <c r="P61" s="102"/>
      <c r="Q61" s="102"/>
      <c r="R61" s="34"/>
      <c r="S61" s="45"/>
      <c r="T61" s="45"/>
      <c r="U61" s="96"/>
      <c r="V61" s="28"/>
      <c r="W61" s="34"/>
      <c r="X61" s="103"/>
      <c r="Y61" s="1"/>
      <c r="Z61" s="1"/>
      <c r="AA61" s="1"/>
    </row>
    <row r="62" ht="15.75" customHeight="1">
      <c r="A62" s="28"/>
      <c r="B62" s="28"/>
      <c r="C62" s="28"/>
      <c r="D62" s="28"/>
      <c r="E62" s="45"/>
      <c r="F62" s="28"/>
      <c r="G62" s="95"/>
      <c r="H62" s="95"/>
      <c r="I62" s="95"/>
      <c r="J62" s="95"/>
      <c r="K62" s="95"/>
      <c r="L62" s="50"/>
      <c r="M62" s="28"/>
      <c r="N62" s="45"/>
      <c r="O62" s="102"/>
      <c r="P62" s="102"/>
      <c r="Q62" s="102"/>
      <c r="R62" s="34"/>
      <c r="S62" s="45"/>
      <c r="T62" s="45"/>
      <c r="U62" s="96"/>
      <c r="V62" s="28"/>
      <c r="W62" s="34"/>
      <c r="X62" s="103"/>
      <c r="Y62" s="1"/>
      <c r="Z62" s="1"/>
      <c r="AA62" s="1"/>
    </row>
    <row r="63" ht="15.75" customHeight="1">
      <c r="A63" s="28"/>
      <c r="B63" s="28"/>
      <c r="C63" s="28"/>
      <c r="D63" s="28"/>
      <c r="E63" s="45"/>
      <c r="F63" s="28"/>
      <c r="G63" s="95"/>
      <c r="H63" s="95"/>
      <c r="I63" s="95"/>
      <c r="J63" s="95"/>
      <c r="K63" s="95"/>
      <c r="L63" s="50"/>
      <c r="M63" s="28"/>
      <c r="N63" s="45"/>
      <c r="O63" s="102"/>
      <c r="P63" s="102"/>
      <c r="Q63" s="102"/>
      <c r="R63" s="34"/>
      <c r="S63" s="45"/>
      <c r="T63" s="45"/>
      <c r="U63" s="96"/>
      <c r="V63" s="28"/>
      <c r="W63" s="34"/>
      <c r="X63" s="103"/>
      <c r="Y63" s="1"/>
      <c r="Z63" s="1"/>
      <c r="AA63" s="1"/>
    </row>
    <row r="64" ht="15.75" customHeight="1">
      <c r="A64" s="28"/>
      <c r="B64" s="28"/>
      <c r="C64" s="28"/>
      <c r="D64" s="28"/>
      <c r="E64" s="45"/>
      <c r="F64" s="28"/>
      <c r="G64" s="95"/>
      <c r="H64" s="95"/>
      <c r="I64" s="95"/>
      <c r="J64" s="95"/>
      <c r="K64" s="95"/>
      <c r="L64" s="50"/>
      <c r="M64" s="28"/>
      <c r="N64" s="45"/>
      <c r="O64" s="102"/>
      <c r="P64" s="102"/>
      <c r="Q64" s="102"/>
      <c r="R64" s="34"/>
      <c r="S64" s="45"/>
      <c r="T64" s="45"/>
      <c r="U64" s="96"/>
      <c r="V64" s="28"/>
      <c r="W64" s="34"/>
      <c r="X64" s="103"/>
      <c r="Y64" s="1"/>
      <c r="Z64" s="1"/>
      <c r="AA64" s="1"/>
    </row>
    <row r="65" ht="15.75" customHeight="1">
      <c r="A65" s="28"/>
      <c r="B65" s="28"/>
      <c r="C65" s="28"/>
      <c r="D65" s="28"/>
      <c r="E65" s="45"/>
      <c r="F65" s="28"/>
      <c r="G65" s="95"/>
      <c r="H65" s="95"/>
      <c r="I65" s="95"/>
      <c r="J65" s="95"/>
      <c r="K65" s="95"/>
      <c r="L65" s="50"/>
      <c r="M65" s="28"/>
      <c r="N65" s="45"/>
      <c r="O65" s="102"/>
      <c r="P65" s="102"/>
      <c r="Q65" s="102"/>
      <c r="R65" s="34"/>
      <c r="S65" s="45"/>
      <c r="T65" s="45"/>
      <c r="U65" s="96"/>
      <c r="V65" s="28"/>
      <c r="W65" s="34"/>
      <c r="X65" s="103"/>
      <c r="Y65" s="1"/>
      <c r="Z65" s="1"/>
      <c r="AA65" s="1"/>
    </row>
    <row r="66" ht="15.75" customHeight="1">
      <c r="A66" s="28"/>
      <c r="B66" s="28"/>
      <c r="C66" s="28"/>
      <c r="D66" s="28"/>
      <c r="E66" s="45"/>
      <c r="F66" s="28"/>
      <c r="G66" s="95"/>
      <c r="H66" s="95"/>
      <c r="I66" s="95"/>
      <c r="J66" s="95"/>
      <c r="K66" s="95"/>
      <c r="L66" s="50"/>
      <c r="M66" s="28"/>
      <c r="N66" s="45"/>
      <c r="O66" s="102"/>
      <c r="P66" s="102"/>
      <c r="Q66" s="102"/>
      <c r="R66" s="34"/>
      <c r="S66" s="45"/>
      <c r="T66" s="45"/>
      <c r="U66" s="96"/>
      <c r="V66" s="28"/>
      <c r="W66" s="34"/>
      <c r="X66" s="103"/>
      <c r="Y66" s="1"/>
      <c r="Z66" s="1"/>
      <c r="AA66" s="1"/>
    </row>
    <row r="67" ht="15.75" customHeight="1">
      <c r="A67" s="28"/>
      <c r="B67" s="28"/>
      <c r="C67" s="28"/>
      <c r="D67" s="28"/>
      <c r="E67" s="45"/>
      <c r="F67" s="28"/>
      <c r="G67" s="95"/>
      <c r="H67" s="95"/>
      <c r="I67" s="95"/>
      <c r="J67" s="95"/>
      <c r="K67" s="95"/>
      <c r="L67" s="50"/>
      <c r="M67" s="28"/>
      <c r="N67" s="45"/>
      <c r="O67" s="102"/>
      <c r="P67" s="102"/>
      <c r="Q67" s="102"/>
      <c r="R67" s="34"/>
      <c r="S67" s="45"/>
      <c r="T67" s="45"/>
      <c r="U67" s="96"/>
      <c r="V67" s="28"/>
      <c r="W67" s="34"/>
      <c r="X67" s="103"/>
      <c r="Y67" s="1"/>
      <c r="Z67" s="1"/>
      <c r="AA67" s="1"/>
    </row>
    <row r="68" ht="15.75" customHeight="1">
      <c r="A68" s="28"/>
      <c r="B68" s="28"/>
      <c r="C68" s="28"/>
      <c r="D68" s="28"/>
      <c r="E68" s="45"/>
      <c r="F68" s="28"/>
      <c r="G68" s="95"/>
      <c r="H68" s="95"/>
      <c r="I68" s="95"/>
      <c r="J68" s="95"/>
      <c r="K68" s="95"/>
      <c r="L68" s="50"/>
      <c r="M68" s="28"/>
      <c r="N68" s="45"/>
      <c r="O68" s="102"/>
      <c r="P68" s="102"/>
      <c r="Q68" s="102"/>
      <c r="R68" s="34"/>
      <c r="S68" s="45"/>
      <c r="T68" s="45"/>
      <c r="U68" s="96"/>
      <c r="V68" s="28"/>
      <c r="W68" s="34"/>
      <c r="X68" s="103"/>
      <c r="Y68" s="1"/>
      <c r="Z68" s="1"/>
      <c r="AA68" s="1"/>
    </row>
    <row r="69" ht="15.75" customHeight="1">
      <c r="A69" s="28"/>
      <c r="B69" s="28"/>
      <c r="C69" s="28"/>
      <c r="D69" s="28"/>
      <c r="E69" s="45"/>
      <c r="F69" s="28"/>
      <c r="G69" s="95"/>
      <c r="H69" s="95"/>
      <c r="I69" s="95"/>
      <c r="J69" s="95"/>
      <c r="K69" s="95"/>
      <c r="L69" s="50"/>
      <c r="M69" s="28"/>
      <c r="N69" s="45"/>
      <c r="O69" s="102"/>
      <c r="P69" s="102"/>
      <c r="Q69" s="102"/>
      <c r="R69" s="34"/>
      <c r="S69" s="45"/>
      <c r="T69" s="45"/>
      <c r="U69" s="96"/>
      <c r="V69" s="28"/>
      <c r="W69" s="34"/>
      <c r="X69" s="103"/>
      <c r="Y69" s="1"/>
      <c r="Z69" s="1"/>
      <c r="AA69" s="1"/>
    </row>
    <row r="70" ht="15.75" customHeight="1">
      <c r="A70" s="28"/>
      <c r="B70" s="28"/>
      <c r="C70" s="28"/>
      <c r="D70" s="28"/>
      <c r="E70" s="45"/>
      <c r="F70" s="28"/>
      <c r="G70" s="95"/>
      <c r="H70" s="95"/>
      <c r="I70" s="95"/>
      <c r="J70" s="95"/>
      <c r="K70" s="95"/>
      <c r="L70" s="50"/>
      <c r="M70" s="28"/>
      <c r="N70" s="45"/>
      <c r="O70" s="102"/>
      <c r="P70" s="102"/>
      <c r="Q70" s="102"/>
      <c r="R70" s="34"/>
      <c r="S70" s="45"/>
      <c r="T70" s="45"/>
      <c r="U70" s="96"/>
      <c r="V70" s="28"/>
      <c r="W70" s="34"/>
      <c r="X70" s="103"/>
      <c r="Y70" s="1"/>
      <c r="Z70" s="1"/>
      <c r="AA70" s="1"/>
    </row>
    <row r="71" ht="15.75" customHeight="1">
      <c r="A71" s="28"/>
      <c r="B71" s="28"/>
      <c r="C71" s="28"/>
      <c r="D71" s="28"/>
      <c r="E71" s="45"/>
      <c r="F71" s="28"/>
      <c r="G71" s="95"/>
      <c r="H71" s="95"/>
      <c r="I71" s="95"/>
      <c r="J71" s="95"/>
      <c r="K71" s="95"/>
      <c r="L71" s="50"/>
      <c r="M71" s="28"/>
      <c r="N71" s="45"/>
      <c r="O71" s="102"/>
      <c r="P71" s="102"/>
      <c r="Q71" s="102"/>
      <c r="R71" s="34"/>
      <c r="S71" s="45"/>
      <c r="T71" s="45"/>
      <c r="U71" s="96"/>
      <c r="V71" s="28"/>
      <c r="W71" s="34"/>
      <c r="X71" s="103"/>
      <c r="Y71" s="1"/>
      <c r="Z71" s="1"/>
      <c r="AA71" s="1"/>
    </row>
    <row r="72" ht="15.75" customHeight="1">
      <c r="A72" s="28"/>
      <c r="B72" s="28"/>
      <c r="C72" s="28"/>
      <c r="D72" s="28"/>
      <c r="E72" s="45"/>
      <c r="F72" s="28"/>
      <c r="G72" s="95"/>
      <c r="H72" s="95"/>
      <c r="I72" s="95"/>
      <c r="J72" s="95"/>
      <c r="K72" s="95"/>
      <c r="L72" s="50"/>
      <c r="M72" s="28"/>
      <c r="N72" s="45"/>
      <c r="O72" s="102"/>
      <c r="P72" s="102"/>
      <c r="Q72" s="102"/>
      <c r="R72" s="34"/>
      <c r="S72" s="45"/>
      <c r="T72" s="45"/>
      <c r="U72" s="96"/>
      <c r="V72" s="28"/>
      <c r="W72" s="34"/>
      <c r="X72" s="103"/>
      <c r="Y72" s="1"/>
      <c r="Z72" s="1"/>
      <c r="AA72" s="1"/>
    </row>
    <row r="73" ht="15.75" customHeight="1">
      <c r="A73" s="28"/>
      <c r="B73" s="28"/>
      <c r="C73" s="28"/>
      <c r="D73" s="28"/>
      <c r="E73" s="45"/>
      <c r="F73" s="28"/>
      <c r="G73" s="95"/>
      <c r="H73" s="95"/>
      <c r="I73" s="95"/>
      <c r="J73" s="95"/>
      <c r="K73" s="95"/>
      <c r="L73" s="50"/>
      <c r="M73" s="28"/>
      <c r="N73" s="45"/>
      <c r="O73" s="102"/>
      <c r="P73" s="102"/>
      <c r="Q73" s="102"/>
      <c r="R73" s="34"/>
      <c r="S73" s="45"/>
      <c r="T73" s="45"/>
      <c r="U73" s="96"/>
      <c r="V73" s="28"/>
      <c r="W73" s="34"/>
      <c r="X73" s="103"/>
      <c r="Y73" s="1"/>
      <c r="Z73" s="1"/>
      <c r="AA73" s="1"/>
    </row>
    <row r="74" ht="15.75" customHeight="1">
      <c r="A74" s="28"/>
      <c r="B74" s="28"/>
      <c r="C74" s="28"/>
      <c r="D74" s="28"/>
      <c r="E74" s="45"/>
      <c r="F74" s="28"/>
      <c r="G74" s="95"/>
      <c r="H74" s="95"/>
      <c r="I74" s="95"/>
      <c r="J74" s="95"/>
      <c r="K74" s="95"/>
      <c r="L74" s="50"/>
      <c r="M74" s="28"/>
      <c r="N74" s="45"/>
      <c r="O74" s="102"/>
      <c r="P74" s="102"/>
      <c r="Q74" s="102"/>
      <c r="R74" s="34"/>
      <c r="S74" s="45"/>
      <c r="T74" s="45"/>
      <c r="U74" s="96"/>
      <c r="V74" s="28"/>
      <c r="W74" s="34"/>
      <c r="X74" s="103"/>
      <c r="Y74" s="1"/>
      <c r="Z74" s="1"/>
      <c r="AA74" s="1"/>
    </row>
    <row r="75" ht="15.75" customHeight="1">
      <c r="A75" s="28"/>
      <c r="B75" s="28"/>
      <c r="C75" s="28"/>
      <c r="D75" s="28"/>
      <c r="E75" s="45"/>
      <c r="F75" s="28"/>
      <c r="G75" s="95"/>
      <c r="H75" s="95"/>
      <c r="I75" s="95"/>
      <c r="J75" s="95"/>
      <c r="K75" s="95"/>
      <c r="L75" s="50"/>
      <c r="M75" s="28"/>
      <c r="N75" s="45"/>
      <c r="O75" s="102"/>
      <c r="P75" s="102"/>
      <c r="Q75" s="102"/>
      <c r="R75" s="34"/>
      <c r="S75" s="45"/>
      <c r="T75" s="45"/>
      <c r="U75" s="96"/>
      <c r="V75" s="28"/>
      <c r="W75" s="34"/>
      <c r="X75" s="103"/>
      <c r="Y75" s="1"/>
      <c r="Z75" s="1"/>
      <c r="AA75" s="1"/>
    </row>
    <row r="76" ht="15.75" customHeight="1">
      <c r="A76" s="28"/>
      <c r="B76" s="28"/>
      <c r="C76" s="28"/>
      <c r="D76" s="28"/>
      <c r="E76" s="45"/>
      <c r="F76" s="28"/>
      <c r="G76" s="95"/>
      <c r="H76" s="95"/>
      <c r="I76" s="95"/>
      <c r="J76" s="95"/>
      <c r="K76" s="95"/>
      <c r="L76" s="50"/>
      <c r="M76" s="28"/>
      <c r="N76" s="45"/>
      <c r="O76" s="102"/>
      <c r="P76" s="102"/>
      <c r="Q76" s="102"/>
      <c r="R76" s="34"/>
      <c r="S76" s="45"/>
      <c r="T76" s="45"/>
      <c r="U76" s="96"/>
      <c r="V76" s="28"/>
      <c r="W76" s="34"/>
      <c r="X76" s="103"/>
      <c r="Y76" s="1"/>
      <c r="Z76" s="1"/>
      <c r="AA76" s="1"/>
    </row>
    <row r="77" ht="15.75" customHeight="1">
      <c r="A77" s="28"/>
      <c r="B77" s="28"/>
      <c r="C77" s="28"/>
      <c r="D77" s="28"/>
      <c r="E77" s="45"/>
      <c r="F77" s="28"/>
      <c r="G77" s="95"/>
      <c r="H77" s="95"/>
      <c r="I77" s="95"/>
      <c r="J77" s="95"/>
      <c r="K77" s="95"/>
      <c r="L77" s="50"/>
      <c r="M77" s="28"/>
      <c r="N77" s="45"/>
      <c r="O77" s="102"/>
      <c r="P77" s="102"/>
      <c r="Q77" s="102"/>
      <c r="R77" s="34"/>
      <c r="S77" s="45"/>
      <c r="T77" s="45"/>
      <c r="U77" s="96"/>
      <c r="V77" s="28"/>
      <c r="W77" s="34"/>
      <c r="X77" s="103"/>
      <c r="Y77" s="1"/>
      <c r="Z77" s="1"/>
      <c r="AA77" s="1"/>
    </row>
    <row r="78" ht="15.75" customHeight="1">
      <c r="A78" s="28"/>
      <c r="B78" s="28"/>
      <c r="C78" s="28"/>
      <c r="D78" s="28"/>
      <c r="E78" s="45"/>
      <c r="F78" s="28"/>
      <c r="G78" s="95"/>
      <c r="H78" s="95"/>
      <c r="I78" s="95"/>
      <c r="J78" s="95"/>
      <c r="K78" s="95"/>
      <c r="L78" s="50"/>
      <c r="M78" s="28"/>
      <c r="N78" s="45"/>
      <c r="O78" s="102"/>
      <c r="P78" s="102"/>
      <c r="Q78" s="102"/>
      <c r="R78" s="34"/>
      <c r="S78" s="45"/>
      <c r="T78" s="45"/>
      <c r="U78" s="96"/>
      <c r="V78" s="28"/>
      <c r="W78" s="34"/>
      <c r="X78" s="103"/>
      <c r="Y78" s="1"/>
      <c r="Z78" s="1"/>
      <c r="AA78" s="1"/>
    </row>
    <row r="79" ht="15.75" customHeight="1">
      <c r="A79" s="28"/>
      <c r="B79" s="28"/>
      <c r="C79" s="28"/>
      <c r="D79" s="28"/>
      <c r="E79" s="45"/>
      <c r="F79" s="28"/>
      <c r="G79" s="95"/>
      <c r="H79" s="95"/>
      <c r="I79" s="95"/>
      <c r="J79" s="95"/>
      <c r="K79" s="95"/>
      <c r="L79" s="50"/>
      <c r="M79" s="28"/>
      <c r="N79" s="45"/>
      <c r="O79" s="102"/>
      <c r="P79" s="102"/>
      <c r="Q79" s="102"/>
      <c r="R79" s="34"/>
      <c r="S79" s="45"/>
      <c r="T79" s="45"/>
      <c r="U79" s="96"/>
      <c r="V79" s="28"/>
      <c r="W79" s="34"/>
      <c r="X79" s="103"/>
      <c r="Y79" s="1"/>
      <c r="Z79" s="1"/>
      <c r="AA79" s="1"/>
    </row>
    <row r="80" ht="15.75" customHeight="1">
      <c r="A80" s="28"/>
      <c r="B80" s="28"/>
      <c r="C80" s="28"/>
      <c r="D80" s="28"/>
      <c r="E80" s="45"/>
      <c r="F80" s="28"/>
      <c r="G80" s="95"/>
      <c r="H80" s="95"/>
      <c r="I80" s="95"/>
      <c r="J80" s="95"/>
      <c r="K80" s="95"/>
      <c r="L80" s="50"/>
      <c r="M80" s="28"/>
      <c r="N80" s="45"/>
      <c r="O80" s="102"/>
      <c r="P80" s="102"/>
      <c r="Q80" s="102"/>
      <c r="R80" s="34"/>
      <c r="S80" s="45"/>
      <c r="T80" s="45"/>
      <c r="U80" s="96"/>
      <c r="V80" s="28"/>
      <c r="W80" s="34"/>
      <c r="X80" s="103"/>
      <c r="Y80" s="1"/>
      <c r="Z80" s="1"/>
      <c r="AA80" s="1"/>
    </row>
    <row r="81" ht="15.75" customHeight="1">
      <c r="A81" s="28"/>
      <c r="B81" s="28"/>
      <c r="C81" s="28"/>
      <c r="D81" s="28"/>
      <c r="E81" s="45"/>
      <c r="F81" s="28"/>
      <c r="G81" s="95"/>
      <c r="H81" s="95"/>
      <c r="I81" s="95"/>
      <c r="J81" s="95"/>
      <c r="K81" s="95"/>
      <c r="L81" s="50"/>
      <c r="M81" s="28"/>
      <c r="N81" s="45"/>
      <c r="O81" s="102"/>
      <c r="P81" s="102"/>
      <c r="Q81" s="102"/>
      <c r="R81" s="34"/>
      <c r="S81" s="45"/>
      <c r="T81" s="45"/>
      <c r="U81" s="96"/>
      <c r="V81" s="28"/>
      <c r="W81" s="34"/>
      <c r="X81" s="103"/>
      <c r="Y81" s="1"/>
      <c r="Z81" s="1"/>
      <c r="AA81" s="1"/>
    </row>
    <row r="82" ht="15.75" customHeight="1">
      <c r="A82" s="28"/>
      <c r="B82" s="28"/>
      <c r="C82" s="28"/>
      <c r="D82" s="28"/>
      <c r="E82" s="45"/>
      <c r="F82" s="28"/>
      <c r="G82" s="95"/>
      <c r="H82" s="95"/>
      <c r="I82" s="95"/>
      <c r="J82" s="95"/>
      <c r="K82" s="95"/>
      <c r="L82" s="50"/>
      <c r="M82" s="28"/>
      <c r="N82" s="45"/>
      <c r="O82" s="102"/>
      <c r="P82" s="102"/>
      <c r="Q82" s="102"/>
      <c r="R82" s="34"/>
      <c r="S82" s="45"/>
      <c r="T82" s="45"/>
      <c r="U82" s="96"/>
      <c r="V82" s="28"/>
      <c r="W82" s="34"/>
      <c r="X82" s="103"/>
      <c r="Y82" s="1"/>
      <c r="Z82" s="1"/>
      <c r="AA82" s="1"/>
    </row>
    <row r="83" ht="15.75" customHeight="1">
      <c r="A83" s="28"/>
      <c r="B83" s="28"/>
      <c r="C83" s="28"/>
      <c r="D83" s="28"/>
      <c r="E83" s="45"/>
      <c r="F83" s="28"/>
      <c r="G83" s="95"/>
      <c r="H83" s="95"/>
      <c r="I83" s="95"/>
      <c r="J83" s="95"/>
      <c r="K83" s="95"/>
      <c r="L83" s="50"/>
      <c r="M83" s="28"/>
      <c r="N83" s="45"/>
      <c r="O83" s="102"/>
      <c r="P83" s="102"/>
      <c r="Q83" s="102"/>
      <c r="R83" s="34"/>
      <c r="S83" s="45"/>
      <c r="T83" s="45"/>
      <c r="U83" s="96"/>
      <c r="V83" s="28"/>
      <c r="W83" s="34"/>
      <c r="X83" s="103"/>
      <c r="Y83" s="1"/>
      <c r="Z83" s="1"/>
      <c r="AA83" s="1"/>
    </row>
    <row r="84" ht="15.75" customHeight="1">
      <c r="A84" s="28"/>
      <c r="B84" s="28"/>
      <c r="C84" s="28"/>
      <c r="D84" s="28"/>
      <c r="E84" s="45"/>
      <c r="F84" s="28"/>
      <c r="G84" s="95"/>
      <c r="H84" s="95"/>
      <c r="I84" s="95"/>
      <c r="J84" s="95"/>
      <c r="K84" s="95"/>
      <c r="L84" s="50"/>
      <c r="M84" s="28"/>
      <c r="N84" s="45"/>
      <c r="O84" s="102"/>
      <c r="P84" s="102"/>
      <c r="Q84" s="102"/>
      <c r="R84" s="34"/>
      <c r="S84" s="45"/>
      <c r="T84" s="45"/>
      <c r="U84" s="96"/>
      <c r="V84" s="28"/>
      <c r="W84" s="34"/>
      <c r="X84" s="103"/>
      <c r="Y84" s="1"/>
      <c r="Z84" s="1"/>
      <c r="AA84" s="1"/>
    </row>
    <row r="85" ht="15.75" customHeight="1">
      <c r="A85" s="28"/>
      <c r="B85" s="28"/>
      <c r="C85" s="28"/>
      <c r="D85" s="28"/>
      <c r="E85" s="45"/>
      <c r="F85" s="28"/>
      <c r="G85" s="95"/>
      <c r="H85" s="95"/>
      <c r="I85" s="95"/>
      <c r="J85" s="95"/>
      <c r="K85" s="95"/>
      <c r="L85" s="50"/>
      <c r="M85" s="28"/>
      <c r="N85" s="45"/>
      <c r="O85" s="102"/>
      <c r="P85" s="102"/>
      <c r="Q85" s="102"/>
      <c r="R85" s="34"/>
      <c r="S85" s="45"/>
      <c r="T85" s="45"/>
      <c r="U85" s="96"/>
      <c r="V85" s="28"/>
      <c r="W85" s="34"/>
      <c r="X85" s="103"/>
      <c r="Y85" s="1"/>
      <c r="Z85" s="1"/>
      <c r="AA85" s="1"/>
    </row>
    <row r="86" ht="15.75" customHeight="1">
      <c r="A86" s="28"/>
      <c r="B86" s="28"/>
      <c r="C86" s="28"/>
      <c r="D86" s="28"/>
      <c r="E86" s="45"/>
      <c r="F86" s="28"/>
      <c r="G86" s="95"/>
      <c r="H86" s="95"/>
      <c r="I86" s="95"/>
      <c r="J86" s="95"/>
      <c r="K86" s="95"/>
      <c r="L86" s="50"/>
      <c r="M86" s="28"/>
      <c r="N86" s="45"/>
      <c r="O86" s="102"/>
      <c r="P86" s="102"/>
      <c r="Q86" s="102"/>
      <c r="R86" s="34"/>
      <c r="S86" s="45"/>
      <c r="T86" s="45"/>
      <c r="U86" s="96"/>
      <c r="V86" s="28"/>
      <c r="W86" s="34"/>
      <c r="X86" s="103"/>
      <c r="Y86" s="1"/>
      <c r="Z86" s="1"/>
      <c r="AA86" s="1"/>
    </row>
    <row r="87" ht="15.75" customHeight="1">
      <c r="A87" s="28"/>
      <c r="B87" s="28"/>
      <c r="C87" s="28"/>
      <c r="D87" s="28"/>
      <c r="E87" s="45"/>
      <c r="F87" s="28"/>
      <c r="G87" s="95"/>
      <c r="H87" s="95"/>
      <c r="I87" s="95"/>
      <c r="J87" s="95"/>
      <c r="K87" s="95"/>
      <c r="L87" s="50"/>
      <c r="M87" s="28"/>
      <c r="N87" s="45"/>
      <c r="O87" s="102"/>
      <c r="P87" s="102"/>
      <c r="Q87" s="102"/>
      <c r="R87" s="34"/>
      <c r="S87" s="45"/>
      <c r="T87" s="45"/>
      <c r="U87" s="96"/>
      <c r="V87" s="28"/>
      <c r="W87" s="34"/>
      <c r="X87" s="103"/>
      <c r="Y87" s="1"/>
      <c r="Z87" s="1"/>
      <c r="AA87" s="1"/>
    </row>
    <row r="88" ht="15.75" customHeight="1">
      <c r="A88" s="28"/>
      <c r="B88" s="28"/>
      <c r="C88" s="28"/>
      <c r="D88" s="28"/>
      <c r="E88" s="45"/>
      <c r="F88" s="28"/>
      <c r="G88" s="95"/>
      <c r="H88" s="95"/>
      <c r="I88" s="95"/>
      <c r="J88" s="95"/>
      <c r="K88" s="95"/>
      <c r="L88" s="50"/>
      <c r="M88" s="28"/>
      <c r="N88" s="45"/>
      <c r="O88" s="102"/>
      <c r="P88" s="102"/>
      <c r="Q88" s="102"/>
      <c r="R88" s="34"/>
      <c r="S88" s="45"/>
      <c r="T88" s="45"/>
      <c r="U88" s="96"/>
      <c r="V88" s="28"/>
      <c r="W88" s="34"/>
      <c r="X88" s="103"/>
      <c r="Y88" s="1"/>
      <c r="Z88" s="1"/>
      <c r="AA88" s="1"/>
    </row>
    <row r="89" ht="15.75" customHeight="1">
      <c r="A89" s="28"/>
      <c r="B89" s="28"/>
      <c r="C89" s="28"/>
      <c r="D89" s="28"/>
      <c r="E89" s="45"/>
      <c r="F89" s="28"/>
      <c r="G89" s="95"/>
      <c r="H89" s="95"/>
      <c r="I89" s="95"/>
      <c r="J89" s="95"/>
      <c r="K89" s="95"/>
      <c r="L89" s="50"/>
      <c r="M89" s="28"/>
      <c r="N89" s="45"/>
      <c r="O89" s="102"/>
      <c r="P89" s="102"/>
      <c r="Q89" s="102"/>
      <c r="R89" s="34"/>
      <c r="S89" s="45"/>
      <c r="T89" s="45"/>
      <c r="U89" s="96"/>
      <c r="V89" s="28"/>
      <c r="W89" s="34"/>
      <c r="X89" s="103"/>
      <c r="Y89" s="1"/>
      <c r="Z89" s="1"/>
      <c r="AA89" s="1"/>
    </row>
    <row r="90" ht="15.75" customHeight="1">
      <c r="A90" s="28"/>
      <c r="B90" s="28"/>
      <c r="C90" s="28"/>
      <c r="D90" s="28"/>
      <c r="E90" s="45"/>
      <c r="F90" s="28"/>
      <c r="G90" s="95"/>
      <c r="H90" s="95"/>
      <c r="I90" s="95"/>
      <c r="J90" s="95"/>
      <c r="K90" s="95"/>
      <c r="L90" s="50"/>
      <c r="M90" s="28"/>
      <c r="N90" s="45"/>
      <c r="O90" s="102"/>
      <c r="P90" s="102"/>
      <c r="Q90" s="102"/>
      <c r="R90" s="34"/>
      <c r="S90" s="45"/>
      <c r="T90" s="45"/>
      <c r="U90" s="96"/>
      <c r="V90" s="28"/>
      <c r="W90" s="34"/>
      <c r="X90" s="103"/>
      <c r="Y90" s="1"/>
      <c r="Z90" s="1"/>
      <c r="AA90" s="1"/>
    </row>
    <row r="91" ht="15.75" customHeight="1">
      <c r="A91" s="28"/>
      <c r="B91" s="28"/>
      <c r="C91" s="28"/>
      <c r="D91" s="28"/>
      <c r="E91" s="45"/>
      <c r="F91" s="28"/>
      <c r="G91" s="95"/>
      <c r="H91" s="95"/>
      <c r="I91" s="95"/>
      <c r="J91" s="95"/>
      <c r="K91" s="95"/>
      <c r="L91" s="50"/>
      <c r="M91" s="28"/>
      <c r="N91" s="45"/>
      <c r="O91" s="102"/>
      <c r="P91" s="102"/>
      <c r="Q91" s="102"/>
      <c r="R91" s="34"/>
      <c r="S91" s="45"/>
      <c r="T91" s="45"/>
      <c r="U91" s="96"/>
      <c r="V91" s="28"/>
      <c r="W91" s="34"/>
      <c r="X91" s="103"/>
      <c r="Y91" s="1"/>
      <c r="Z91" s="1"/>
      <c r="AA91" s="1"/>
    </row>
    <row r="92" ht="15.75" customHeight="1">
      <c r="A92" s="28"/>
      <c r="B92" s="28"/>
      <c r="C92" s="28"/>
      <c r="D92" s="28"/>
      <c r="E92" s="45"/>
      <c r="F92" s="28"/>
      <c r="G92" s="95"/>
      <c r="H92" s="95"/>
      <c r="I92" s="95"/>
      <c r="J92" s="95"/>
      <c r="K92" s="95"/>
      <c r="L92" s="50"/>
      <c r="M92" s="28"/>
      <c r="N92" s="45"/>
      <c r="O92" s="102"/>
      <c r="P92" s="102"/>
      <c r="Q92" s="102"/>
      <c r="R92" s="34"/>
      <c r="S92" s="45"/>
      <c r="T92" s="45"/>
      <c r="U92" s="96"/>
      <c r="V92" s="28"/>
      <c r="W92" s="34"/>
      <c r="X92" s="103"/>
      <c r="Y92" s="1"/>
      <c r="Z92" s="1"/>
      <c r="AA92" s="1"/>
    </row>
    <row r="93" ht="15.75" customHeight="1">
      <c r="A93" s="28"/>
      <c r="B93" s="28"/>
      <c r="C93" s="28"/>
      <c r="D93" s="28"/>
      <c r="E93" s="45"/>
      <c r="F93" s="28"/>
      <c r="G93" s="95"/>
      <c r="H93" s="95"/>
      <c r="I93" s="95"/>
      <c r="J93" s="95"/>
      <c r="K93" s="95"/>
      <c r="L93" s="50"/>
      <c r="M93" s="28"/>
      <c r="N93" s="45"/>
      <c r="O93" s="102"/>
      <c r="P93" s="102"/>
      <c r="Q93" s="102"/>
      <c r="R93" s="34"/>
      <c r="S93" s="45"/>
      <c r="T93" s="45"/>
      <c r="U93" s="96"/>
      <c r="V93" s="28"/>
      <c r="W93" s="34"/>
      <c r="X93" s="103"/>
      <c r="Y93" s="1"/>
      <c r="Z93" s="1"/>
      <c r="AA93" s="1"/>
    </row>
    <row r="94" ht="15.75" customHeight="1">
      <c r="A94" s="28"/>
      <c r="B94" s="28"/>
      <c r="C94" s="28"/>
      <c r="D94" s="28"/>
      <c r="E94" s="45"/>
      <c r="F94" s="28"/>
      <c r="G94" s="95"/>
      <c r="H94" s="95"/>
      <c r="I94" s="95"/>
      <c r="J94" s="95"/>
      <c r="K94" s="95"/>
      <c r="L94" s="50"/>
      <c r="M94" s="28"/>
      <c r="N94" s="45"/>
      <c r="O94" s="102"/>
      <c r="P94" s="102"/>
      <c r="Q94" s="102"/>
      <c r="R94" s="34"/>
      <c r="S94" s="45"/>
      <c r="T94" s="45"/>
      <c r="U94" s="96"/>
      <c r="V94" s="28"/>
      <c r="W94" s="34"/>
      <c r="X94" s="103"/>
      <c r="Y94" s="1"/>
      <c r="Z94" s="1"/>
      <c r="AA94" s="1"/>
    </row>
    <row r="95" ht="15.75" customHeight="1">
      <c r="A95" s="28"/>
      <c r="B95" s="28"/>
      <c r="C95" s="28"/>
      <c r="D95" s="28"/>
      <c r="E95" s="45"/>
      <c r="F95" s="28"/>
      <c r="G95" s="95"/>
      <c r="H95" s="95"/>
      <c r="I95" s="95"/>
      <c r="J95" s="95"/>
      <c r="K95" s="95"/>
      <c r="L95" s="50"/>
      <c r="M95" s="28"/>
      <c r="N95" s="45"/>
      <c r="O95" s="102"/>
      <c r="P95" s="102"/>
      <c r="Q95" s="102"/>
      <c r="R95" s="34"/>
      <c r="S95" s="45"/>
      <c r="T95" s="45"/>
      <c r="U95" s="96"/>
      <c r="V95" s="28"/>
      <c r="W95" s="34"/>
      <c r="X95" s="103"/>
      <c r="Y95" s="1"/>
      <c r="Z95" s="1"/>
      <c r="AA95" s="1"/>
    </row>
    <row r="96" ht="15.75" customHeight="1">
      <c r="A96" s="28"/>
      <c r="B96" s="28"/>
      <c r="C96" s="28"/>
      <c r="D96" s="28"/>
      <c r="E96" s="45"/>
      <c r="F96" s="28"/>
      <c r="G96" s="95"/>
      <c r="H96" s="95"/>
      <c r="I96" s="95"/>
      <c r="J96" s="95"/>
      <c r="K96" s="95"/>
      <c r="L96" s="50"/>
      <c r="M96" s="28"/>
      <c r="N96" s="45"/>
      <c r="O96" s="102"/>
      <c r="P96" s="102"/>
      <c r="Q96" s="102"/>
      <c r="R96" s="34"/>
      <c r="S96" s="45"/>
      <c r="T96" s="45"/>
      <c r="U96" s="96"/>
      <c r="V96" s="28"/>
      <c r="W96" s="34"/>
      <c r="X96" s="103"/>
      <c r="Y96" s="1"/>
      <c r="Z96" s="1"/>
      <c r="AA96" s="1"/>
    </row>
    <row r="97" ht="15.75" customHeight="1">
      <c r="A97" s="28"/>
      <c r="B97" s="28"/>
      <c r="C97" s="28"/>
      <c r="D97" s="28"/>
      <c r="E97" s="45"/>
      <c r="F97" s="28"/>
      <c r="G97" s="95"/>
      <c r="H97" s="95"/>
      <c r="I97" s="95"/>
      <c r="J97" s="95"/>
      <c r="K97" s="95"/>
      <c r="L97" s="50"/>
      <c r="M97" s="28"/>
      <c r="N97" s="45"/>
      <c r="O97" s="102"/>
      <c r="P97" s="102"/>
      <c r="Q97" s="102"/>
      <c r="R97" s="34"/>
      <c r="S97" s="45"/>
      <c r="T97" s="45"/>
      <c r="U97" s="96"/>
      <c r="V97" s="28"/>
      <c r="W97" s="34"/>
      <c r="X97" s="103"/>
      <c r="Y97" s="1"/>
      <c r="Z97" s="1"/>
      <c r="AA97" s="1"/>
    </row>
    <row r="98" ht="15.75" customHeight="1">
      <c r="A98" s="28"/>
      <c r="B98" s="28"/>
      <c r="C98" s="28"/>
      <c r="D98" s="28"/>
      <c r="E98" s="45"/>
      <c r="F98" s="28"/>
      <c r="G98" s="95"/>
      <c r="H98" s="95"/>
      <c r="I98" s="95"/>
      <c r="J98" s="95"/>
      <c r="K98" s="95"/>
      <c r="L98" s="50"/>
      <c r="M98" s="28"/>
      <c r="N98" s="45"/>
      <c r="O98" s="102"/>
      <c r="P98" s="102"/>
      <c r="Q98" s="102"/>
      <c r="R98" s="34"/>
      <c r="S98" s="45"/>
      <c r="T98" s="45"/>
      <c r="U98" s="96"/>
      <c r="V98" s="28"/>
      <c r="W98" s="34"/>
      <c r="X98" s="103"/>
      <c r="Y98" s="1"/>
      <c r="Z98" s="1"/>
      <c r="AA98" s="1"/>
    </row>
    <row r="99" ht="15.75" customHeight="1">
      <c r="A99" s="28"/>
      <c r="B99" s="28"/>
      <c r="C99" s="28"/>
      <c r="D99" s="28"/>
      <c r="E99" s="45"/>
      <c r="F99" s="28"/>
      <c r="G99" s="95"/>
      <c r="H99" s="95"/>
      <c r="I99" s="95"/>
      <c r="J99" s="95"/>
      <c r="K99" s="95"/>
      <c r="L99" s="50"/>
      <c r="M99" s="28"/>
      <c r="N99" s="45"/>
      <c r="O99" s="102"/>
      <c r="P99" s="102"/>
      <c r="Q99" s="102"/>
      <c r="R99" s="34"/>
      <c r="S99" s="45"/>
      <c r="T99" s="45"/>
      <c r="U99" s="96"/>
      <c r="V99" s="28"/>
      <c r="W99" s="34"/>
      <c r="X99" s="103"/>
      <c r="Y99" s="1"/>
      <c r="Z99" s="1"/>
      <c r="AA99" s="1"/>
    </row>
    <row r="100" ht="15.75" customHeight="1">
      <c r="A100" s="28"/>
      <c r="B100" s="28"/>
      <c r="C100" s="28"/>
      <c r="D100" s="28"/>
      <c r="E100" s="45"/>
      <c r="F100" s="28"/>
      <c r="G100" s="95"/>
      <c r="H100" s="95"/>
      <c r="I100" s="95"/>
      <c r="J100" s="95"/>
      <c r="K100" s="95"/>
      <c r="L100" s="50"/>
      <c r="M100" s="28"/>
      <c r="N100" s="45"/>
      <c r="O100" s="102"/>
      <c r="P100" s="102"/>
      <c r="Q100" s="102"/>
      <c r="R100" s="34"/>
      <c r="S100" s="45"/>
      <c r="T100" s="45"/>
      <c r="U100" s="96"/>
      <c r="V100" s="28"/>
      <c r="W100" s="34"/>
      <c r="X100" s="103"/>
      <c r="Y100" s="1"/>
      <c r="Z100" s="1"/>
      <c r="AA100" s="1"/>
    </row>
    <row r="101" ht="15.75" customHeight="1">
      <c r="A101" s="28"/>
      <c r="B101" s="28"/>
      <c r="C101" s="28"/>
      <c r="D101" s="28"/>
      <c r="E101" s="45"/>
      <c r="F101" s="28"/>
      <c r="G101" s="95"/>
      <c r="H101" s="95"/>
      <c r="I101" s="95"/>
      <c r="J101" s="95"/>
      <c r="K101" s="95"/>
      <c r="L101" s="50"/>
      <c r="M101" s="28"/>
      <c r="N101" s="45"/>
      <c r="O101" s="102"/>
      <c r="P101" s="102"/>
      <c r="Q101" s="102"/>
      <c r="R101" s="34"/>
      <c r="S101" s="45"/>
      <c r="T101" s="45"/>
      <c r="U101" s="96"/>
      <c r="V101" s="28"/>
      <c r="W101" s="34"/>
      <c r="X101" s="103"/>
      <c r="Y101" s="1"/>
      <c r="Z101" s="1"/>
      <c r="AA101" s="1"/>
    </row>
    <row r="102" ht="15.75" customHeight="1">
      <c r="A102" s="28"/>
      <c r="B102" s="28"/>
      <c r="C102" s="28"/>
      <c r="D102" s="28"/>
      <c r="E102" s="45"/>
      <c r="F102" s="28"/>
      <c r="G102" s="95"/>
      <c r="H102" s="95"/>
      <c r="I102" s="95"/>
      <c r="J102" s="95"/>
      <c r="K102" s="95"/>
      <c r="L102" s="50"/>
      <c r="M102" s="28"/>
      <c r="N102" s="45"/>
      <c r="O102" s="102"/>
      <c r="P102" s="102"/>
      <c r="Q102" s="102"/>
      <c r="R102" s="34"/>
      <c r="S102" s="45"/>
      <c r="T102" s="45"/>
      <c r="U102" s="96"/>
      <c r="V102" s="28"/>
      <c r="W102" s="34"/>
      <c r="X102" s="103"/>
      <c r="Y102" s="1"/>
      <c r="Z102" s="1"/>
      <c r="AA102" s="1"/>
    </row>
    <row r="103" ht="15.75" customHeight="1">
      <c r="A103" s="28"/>
      <c r="B103" s="28"/>
      <c r="C103" s="28"/>
      <c r="D103" s="28"/>
      <c r="E103" s="45"/>
      <c r="F103" s="28"/>
      <c r="G103" s="95"/>
      <c r="H103" s="95"/>
      <c r="I103" s="95"/>
      <c r="J103" s="95"/>
      <c r="K103" s="95"/>
      <c r="L103" s="50"/>
      <c r="M103" s="28"/>
      <c r="N103" s="45"/>
      <c r="O103" s="102"/>
      <c r="P103" s="102"/>
      <c r="Q103" s="102"/>
      <c r="R103" s="34"/>
      <c r="S103" s="45"/>
      <c r="T103" s="45"/>
      <c r="U103" s="96"/>
      <c r="V103" s="28"/>
      <c r="W103" s="34"/>
      <c r="X103" s="103"/>
      <c r="Y103" s="1"/>
      <c r="Z103" s="1"/>
      <c r="AA103" s="1"/>
    </row>
    <row r="104" ht="15.75" customHeight="1">
      <c r="A104" s="28"/>
      <c r="B104" s="28"/>
      <c r="C104" s="28"/>
      <c r="D104" s="28"/>
      <c r="E104" s="45"/>
      <c r="F104" s="28"/>
      <c r="G104" s="95"/>
      <c r="H104" s="95"/>
      <c r="I104" s="95"/>
      <c r="J104" s="95"/>
      <c r="K104" s="95"/>
      <c r="L104" s="50"/>
      <c r="M104" s="28"/>
      <c r="N104" s="45"/>
      <c r="O104" s="102"/>
      <c r="P104" s="102"/>
      <c r="Q104" s="102"/>
      <c r="R104" s="34"/>
      <c r="S104" s="45"/>
      <c r="T104" s="45"/>
      <c r="U104" s="96"/>
      <c r="V104" s="28"/>
      <c r="W104" s="34"/>
      <c r="X104" s="103"/>
      <c r="Y104" s="1"/>
      <c r="Z104" s="1"/>
      <c r="AA104" s="1"/>
    </row>
    <row r="105" ht="15.75" customHeight="1">
      <c r="A105" s="28"/>
      <c r="B105" s="28"/>
      <c r="C105" s="28"/>
      <c r="D105" s="28"/>
      <c r="E105" s="45"/>
      <c r="F105" s="28"/>
      <c r="G105" s="95"/>
      <c r="H105" s="95"/>
      <c r="I105" s="95"/>
      <c r="J105" s="95"/>
      <c r="K105" s="95"/>
      <c r="L105" s="50"/>
      <c r="M105" s="28"/>
      <c r="N105" s="45"/>
      <c r="O105" s="102"/>
      <c r="P105" s="102"/>
      <c r="Q105" s="102"/>
      <c r="R105" s="34"/>
      <c r="S105" s="45"/>
      <c r="T105" s="45"/>
      <c r="U105" s="96"/>
      <c r="V105" s="28"/>
      <c r="W105" s="34"/>
      <c r="X105" s="103"/>
      <c r="Y105" s="1"/>
      <c r="Z105" s="1"/>
      <c r="AA105" s="1"/>
    </row>
    <row r="106" ht="15.75" customHeight="1">
      <c r="A106" s="28"/>
      <c r="B106" s="28"/>
      <c r="C106" s="28"/>
      <c r="D106" s="28"/>
      <c r="E106" s="45"/>
      <c r="F106" s="28"/>
      <c r="G106" s="95"/>
      <c r="H106" s="95"/>
      <c r="I106" s="95"/>
      <c r="J106" s="95"/>
      <c r="K106" s="95"/>
      <c r="L106" s="50"/>
      <c r="M106" s="28"/>
      <c r="N106" s="45"/>
      <c r="O106" s="102"/>
      <c r="P106" s="102"/>
      <c r="Q106" s="102"/>
      <c r="R106" s="34"/>
      <c r="S106" s="45"/>
      <c r="T106" s="45"/>
      <c r="U106" s="96"/>
      <c r="V106" s="28"/>
      <c r="W106" s="34"/>
      <c r="X106" s="103"/>
      <c r="Y106" s="1"/>
      <c r="Z106" s="1"/>
      <c r="AA106" s="1"/>
    </row>
    <row r="107" ht="15.75" customHeight="1">
      <c r="A107" s="28"/>
      <c r="B107" s="28"/>
      <c r="C107" s="28"/>
      <c r="D107" s="28"/>
      <c r="E107" s="45"/>
      <c r="F107" s="28"/>
      <c r="G107" s="95"/>
      <c r="H107" s="95"/>
      <c r="I107" s="95"/>
      <c r="J107" s="95"/>
      <c r="K107" s="95"/>
      <c r="L107" s="50"/>
      <c r="M107" s="28"/>
      <c r="N107" s="45"/>
      <c r="O107" s="102"/>
      <c r="P107" s="102"/>
      <c r="Q107" s="102"/>
      <c r="R107" s="34"/>
      <c r="S107" s="45"/>
      <c r="T107" s="45"/>
      <c r="U107" s="96"/>
      <c r="V107" s="28"/>
      <c r="W107" s="34"/>
      <c r="X107" s="103"/>
      <c r="Y107" s="1"/>
      <c r="Z107" s="1"/>
      <c r="AA107" s="1"/>
    </row>
    <row r="108" ht="15.75" customHeight="1">
      <c r="A108" s="28"/>
      <c r="B108" s="28"/>
      <c r="C108" s="28"/>
      <c r="D108" s="28"/>
      <c r="E108" s="45"/>
      <c r="F108" s="28"/>
      <c r="G108" s="95"/>
      <c r="H108" s="95"/>
      <c r="I108" s="95"/>
      <c r="J108" s="95"/>
      <c r="K108" s="95"/>
      <c r="L108" s="50"/>
      <c r="M108" s="28"/>
      <c r="N108" s="45"/>
      <c r="O108" s="102"/>
      <c r="P108" s="102"/>
      <c r="Q108" s="102"/>
      <c r="R108" s="34"/>
      <c r="S108" s="45"/>
      <c r="T108" s="45"/>
      <c r="U108" s="96"/>
      <c r="V108" s="28"/>
      <c r="W108" s="34"/>
      <c r="X108" s="103"/>
      <c r="Y108" s="1"/>
      <c r="Z108" s="1"/>
      <c r="AA108" s="1"/>
    </row>
    <row r="109" ht="15.75" customHeight="1">
      <c r="A109" s="28"/>
      <c r="B109" s="28"/>
      <c r="C109" s="28"/>
      <c r="D109" s="28"/>
      <c r="E109" s="45"/>
      <c r="F109" s="28"/>
      <c r="G109" s="95"/>
      <c r="H109" s="95"/>
      <c r="I109" s="95"/>
      <c r="J109" s="95"/>
      <c r="K109" s="95"/>
      <c r="L109" s="50"/>
      <c r="M109" s="28"/>
      <c r="N109" s="45"/>
      <c r="O109" s="102"/>
      <c r="P109" s="102"/>
      <c r="Q109" s="102"/>
      <c r="R109" s="34"/>
      <c r="S109" s="45"/>
      <c r="T109" s="45"/>
      <c r="U109" s="96"/>
      <c r="V109" s="28"/>
      <c r="W109" s="34"/>
      <c r="X109" s="103"/>
      <c r="Y109" s="1"/>
      <c r="Z109" s="1"/>
      <c r="AA109" s="1"/>
    </row>
    <row r="110" ht="15.75" customHeight="1">
      <c r="A110" s="28"/>
      <c r="B110" s="28"/>
      <c r="C110" s="28"/>
      <c r="D110" s="28"/>
      <c r="E110" s="45"/>
      <c r="F110" s="28"/>
      <c r="G110" s="95"/>
      <c r="H110" s="95"/>
      <c r="I110" s="95"/>
      <c r="J110" s="95"/>
      <c r="K110" s="95"/>
      <c r="L110" s="50"/>
      <c r="M110" s="28"/>
      <c r="N110" s="45"/>
      <c r="O110" s="102"/>
      <c r="P110" s="102"/>
      <c r="Q110" s="102"/>
      <c r="R110" s="34"/>
      <c r="S110" s="45"/>
      <c r="T110" s="45"/>
      <c r="U110" s="96"/>
      <c r="V110" s="28"/>
      <c r="W110" s="34"/>
      <c r="X110" s="103"/>
      <c r="Y110" s="1"/>
      <c r="Z110" s="1"/>
      <c r="AA110" s="1"/>
    </row>
    <row r="111" ht="15.75" customHeight="1">
      <c r="A111" s="28"/>
      <c r="B111" s="28"/>
      <c r="C111" s="28"/>
      <c r="D111" s="28"/>
      <c r="E111" s="45"/>
      <c r="F111" s="28"/>
      <c r="G111" s="95"/>
      <c r="H111" s="95"/>
      <c r="I111" s="95"/>
      <c r="J111" s="95"/>
      <c r="K111" s="95"/>
      <c r="L111" s="50"/>
      <c r="M111" s="28"/>
      <c r="N111" s="45"/>
      <c r="O111" s="102"/>
      <c r="P111" s="102"/>
      <c r="Q111" s="102"/>
      <c r="R111" s="34"/>
      <c r="S111" s="45"/>
      <c r="T111" s="45"/>
      <c r="U111" s="96"/>
      <c r="V111" s="28"/>
      <c r="W111" s="34"/>
      <c r="X111" s="103"/>
      <c r="Y111" s="1"/>
      <c r="Z111" s="1"/>
      <c r="AA111" s="1"/>
    </row>
    <row r="112" ht="15.75" customHeight="1">
      <c r="A112" s="28"/>
      <c r="B112" s="28"/>
      <c r="C112" s="28"/>
      <c r="D112" s="28"/>
      <c r="E112" s="45"/>
      <c r="F112" s="28"/>
      <c r="G112" s="95"/>
      <c r="H112" s="95"/>
      <c r="I112" s="95"/>
      <c r="J112" s="95"/>
      <c r="K112" s="95"/>
      <c r="L112" s="50"/>
      <c r="M112" s="28"/>
      <c r="N112" s="45"/>
      <c r="O112" s="102"/>
      <c r="P112" s="102"/>
      <c r="Q112" s="102"/>
      <c r="R112" s="34"/>
      <c r="S112" s="45"/>
      <c r="T112" s="45"/>
      <c r="U112" s="96"/>
      <c r="V112" s="28"/>
      <c r="W112" s="34"/>
      <c r="X112" s="103"/>
      <c r="Y112" s="1"/>
      <c r="Z112" s="1"/>
      <c r="AA112" s="1"/>
    </row>
    <row r="113" ht="15.75" customHeight="1">
      <c r="A113" s="28"/>
      <c r="B113" s="28"/>
      <c r="C113" s="28"/>
      <c r="D113" s="28"/>
      <c r="E113" s="45"/>
      <c r="F113" s="28"/>
      <c r="G113" s="95"/>
      <c r="H113" s="95"/>
      <c r="I113" s="95"/>
      <c r="J113" s="95"/>
      <c r="K113" s="95"/>
      <c r="L113" s="50"/>
      <c r="M113" s="28"/>
      <c r="N113" s="45"/>
      <c r="O113" s="102"/>
      <c r="P113" s="102"/>
      <c r="Q113" s="102"/>
      <c r="R113" s="34"/>
      <c r="S113" s="45"/>
      <c r="T113" s="45"/>
      <c r="U113" s="96"/>
      <c r="V113" s="28"/>
      <c r="W113" s="34"/>
      <c r="X113" s="103"/>
      <c r="Y113" s="1"/>
      <c r="Z113" s="1"/>
      <c r="AA113" s="1"/>
    </row>
    <row r="114" ht="15.75" customHeight="1">
      <c r="A114" s="28"/>
      <c r="B114" s="28"/>
      <c r="C114" s="28"/>
      <c r="D114" s="28"/>
      <c r="E114" s="45"/>
      <c r="F114" s="28"/>
      <c r="G114" s="95"/>
      <c r="H114" s="95"/>
      <c r="I114" s="95"/>
      <c r="J114" s="95"/>
      <c r="K114" s="95"/>
      <c r="L114" s="50"/>
      <c r="M114" s="28"/>
      <c r="N114" s="45"/>
      <c r="O114" s="102"/>
      <c r="P114" s="102"/>
      <c r="Q114" s="102"/>
      <c r="R114" s="34"/>
      <c r="S114" s="45"/>
      <c r="T114" s="45"/>
      <c r="U114" s="96"/>
      <c r="V114" s="28"/>
      <c r="W114" s="34"/>
      <c r="X114" s="103"/>
      <c r="Y114" s="1"/>
      <c r="Z114" s="1"/>
      <c r="AA114" s="1"/>
    </row>
    <row r="115" ht="15.75" customHeight="1">
      <c r="A115" s="28"/>
      <c r="B115" s="28"/>
      <c r="C115" s="28"/>
      <c r="D115" s="28"/>
      <c r="E115" s="45"/>
      <c r="F115" s="28"/>
      <c r="G115" s="95"/>
      <c r="H115" s="95"/>
      <c r="I115" s="95"/>
      <c r="J115" s="95"/>
      <c r="K115" s="95"/>
      <c r="L115" s="50"/>
      <c r="M115" s="28"/>
      <c r="N115" s="45"/>
      <c r="O115" s="102"/>
      <c r="P115" s="102"/>
      <c r="Q115" s="102"/>
      <c r="R115" s="34"/>
      <c r="S115" s="45"/>
      <c r="T115" s="45"/>
      <c r="U115" s="96"/>
      <c r="V115" s="28"/>
      <c r="W115" s="34"/>
      <c r="X115" s="103"/>
      <c r="Y115" s="1"/>
      <c r="Z115" s="1"/>
      <c r="AA115" s="1"/>
    </row>
    <row r="116" ht="15.75" customHeight="1">
      <c r="A116" s="28"/>
      <c r="B116" s="28"/>
      <c r="C116" s="28"/>
      <c r="D116" s="28"/>
      <c r="E116" s="45"/>
      <c r="F116" s="28"/>
      <c r="G116" s="95"/>
      <c r="H116" s="95"/>
      <c r="I116" s="95"/>
      <c r="J116" s="95"/>
      <c r="K116" s="95"/>
      <c r="L116" s="50"/>
      <c r="M116" s="28"/>
      <c r="N116" s="45"/>
      <c r="O116" s="102"/>
      <c r="P116" s="102"/>
      <c r="Q116" s="102"/>
      <c r="R116" s="34"/>
      <c r="S116" s="45"/>
      <c r="T116" s="45"/>
      <c r="U116" s="96"/>
      <c r="V116" s="28"/>
      <c r="W116" s="34"/>
      <c r="X116" s="103"/>
      <c r="Y116" s="1"/>
      <c r="Z116" s="1"/>
      <c r="AA116" s="1"/>
    </row>
    <row r="117" ht="15.75" customHeight="1">
      <c r="A117" s="28"/>
      <c r="B117" s="28"/>
      <c r="C117" s="28"/>
      <c r="D117" s="28"/>
      <c r="E117" s="45"/>
      <c r="F117" s="28"/>
      <c r="G117" s="95"/>
      <c r="H117" s="95"/>
      <c r="I117" s="95"/>
      <c r="J117" s="95"/>
      <c r="K117" s="95"/>
      <c r="L117" s="50"/>
      <c r="M117" s="28"/>
      <c r="N117" s="45"/>
      <c r="O117" s="102"/>
      <c r="P117" s="102"/>
      <c r="Q117" s="102"/>
      <c r="R117" s="34"/>
      <c r="S117" s="45"/>
      <c r="T117" s="45"/>
      <c r="U117" s="96"/>
      <c r="V117" s="28"/>
      <c r="W117" s="34"/>
      <c r="X117" s="103"/>
      <c r="Y117" s="1"/>
      <c r="Z117" s="1"/>
      <c r="AA117" s="1"/>
    </row>
    <row r="118" ht="15.75" customHeight="1">
      <c r="A118" s="28"/>
      <c r="B118" s="28"/>
      <c r="C118" s="28"/>
      <c r="D118" s="28"/>
      <c r="E118" s="45"/>
      <c r="F118" s="28"/>
      <c r="G118" s="95"/>
      <c r="H118" s="95"/>
      <c r="I118" s="95"/>
      <c r="J118" s="95"/>
      <c r="K118" s="95"/>
      <c r="L118" s="50"/>
      <c r="M118" s="28"/>
      <c r="N118" s="45"/>
      <c r="O118" s="102"/>
      <c r="P118" s="102"/>
      <c r="Q118" s="102"/>
      <c r="R118" s="34"/>
      <c r="S118" s="45"/>
      <c r="T118" s="45"/>
      <c r="U118" s="96"/>
      <c r="V118" s="28"/>
      <c r="W118" s="34"/>
      <c r="X118" s="103"/>
      <c r="Y118" s="1"/>
      <c r="Z118" s="1"/>
      <c r="AA118" s="1"/>
    </row>
    <row r="119" ht="15.75" customHeight="1">
      <c r="A119" s="28"/>
      <c r="B119" s="28"/>
      <c r="C119" s="28"/>
      <c r="D119" s="28"/>
      <c r="E119" s="45"/>
      <c r="F119" s="28"/>
      <c r="G119" s="95"/>
      <c r="H119" s="95"/>
      <c r="I119" s="95"/>
      <c r="J119" s="95"/>
      <c r="K119" s="95"/>
      <c r="L119" s="50"/>
      <c r="M119" s="28"/>
      <c r="N119" s="45"/>
      <c r="O119" s="102"/>
      <c r="P119" s="102"/>
      <c r="Q119" s="102"/>
      <c r="R119" s="34"/>
      <c r="S119" s="45"/>
      <c r="T119" s="45"/>
      <c r="U119" s="96"/>
      <c r="V119" s="28"/>
      <c r="W119" s="34"/>
      <c r="X119" s="103"/>
      <c r="Y119" s="1"/>
      <c r="Z119" s="1"/>
      <c r="AA119" s="1"/>
    </row>
    <row r="120" ht="15.75" customHeight="1">
      <c r="A120" s="28"/>
      <c r="B120" s="28"/>
      <c r="C120" s="28"/>
      <c r="D120" s="28"/>
      <c r="E120" s="45"/>
      <c r="F120" s="28"/>
      <c r="G120" s="95"/>
      <c r="H120" s="95"/>
      <c r="I120" s="95"/>
      <c r="J120" s="95"/>
      <c r="K120" s="95"/>
      <c r="L120" s="50"/>
      <c r="M120" s="28"/>
      <c r="N120" s="45"/>
      <c r="O120" s="102"/>
      <c r="P120" s="102"/>
      <c r="Q120" s="102"/>
      <c r="R120" s="34"/>
      <c r="S120" s="45"/>
      <c r="T120" s="45"/>
      <c r="U120" s="96"/>
      <c r="V120" s="28"/>
      <c r="W120" s="34"/>
      <c r="X120" s="103"/>
      <c r="Y120" s="1"/>
      <c r="Z120" s="1"/>
      <c r="AA120" s="1"/>
    </row>
    <row r="121" ht="15.75" customHeight="1">
      <c r="A121" s="28"/>
      <c r="B121" s="28"/>
      <c r="C121" s="28"/>
      <c r="D121" s="28"/>
      <c r="E121" s="45"/>
      <c r="F121" s="28"/>
      <c r="G121" s="95"/>
      <c r="H121" s="95"/>
      <c r="I121" s="95"/>
      <c r="J121" s="95"/>
      <c r="K121" s="95"/>
      <c r="L121" s="50"/>
      <c r="M121" s="28"/>
      <c r="N121" s="45"/>
      <c r="O121" s="102"/>
      <c r="P121" s="102"/>
      <c r="Q121" s="102"/>
      <c r="R121" s="34"/>
      <c r="S121" s="45"/>
      <c r="T121" s="45"/>
      <c r="U121" s="96"/>
      <c r="V121" s="28"/>
      <c r="W121" s="34"/>
      <c r="X121" s="103"/>
      <c r="Y121" s="1"/>
      <c r="Z121" s="1"/>
      <c r="AA121" s="1"/>
    </row>
    <row r="122" ht="15.75" customHeight="1">
      <c r="A122" s="28"/>
      <c r="B122" s="28"/>
      <c r="C122" s="28"/>
      <c r="D122" s="28"/>
      <c r="E122" s="45"/>
      <c r="F122" s="28"/>
      <c r="G122" s="95"/>
      <c r="H122" s="95"/>
      <c r="I122" s="95"/>
      <c r="J122" s="95"/>
      <c r="K122" s="95"/>
      <c r="L122" s="50"/>
      <c r="M122" s="28"/>
      <c r="N122" s="45"/>
      <c r="O122" s="102"/>
      <c r="P122" s="102"/>
      <c r="Q122" s="102"/>
      <c r="R122" s="34"/>
      <c r="S122" s="45"/>
      <c r="T122" s="45"/>
      <c r="U122" s="96"/>
      <c r="V122" s="28"/>
      <c r="W122" s="34"/>
      <c r="X122" s="103"/>
      <c r="Y122" s="1"/>
      <c r="Z122" s="1"/>
      <c r="AA122" s="1"/>
    </row>
    <row r="123" ht="15.75" customHeight="1">
      <c r="A123" s="28"/>
      <c r="B123" s="28"/>
      <c r="C123" s="28"/>
      <c r="D123" s="28"/>
      <c r="E123" s="45"/>
      <c r="F123" s="28"/>
      <c r="G123" s="95"/>
      <c r="H123" s="95"/>
      <c r="I123" s="95"/>
      <c r="J123" s="95"/>
      <c r="K123" s="95"/>
      <c r="L123" s="50"/>
      <c r="M123" s="28"/>
      <c r="N123" s="45"/>
      <c r="O123" s="102"/>
      <c r="P123" s="102"/>
      <c r="Q123" s="102"/>
      <c r="R123" s="34"/>
      <c r="S123" s="45"/>
      <c r="T123" s="45"/>
      <c r="U123" s="96"/>
      <c r="V123" s="28"/>
      <c r="W123" s="34"/>
      <c r="X123" s="103"/>
      <c r="Y123" s="1"/>
      <c r="Z123" s="1"/>
      <c r="AA123" s="1"/>
    </row>
    <row r="124" ht="15.75" customHeight="1">
      <c r="A124" s="28"/>
      <c r="B124" s="28"/>
      <c r="C124" s="28"/>
      <c r="D124" s="28"/>
      <c r="E124" s="45"/>
      <c r="F124" s="28"/>
      <c r="G124" s="95"/>
      <c r="H124" s="95"/>
      <c r="I124" s="95"/>
      <c r="J124" s="95"/>
      <c r="K124" s="95"/>
      <c r="L124" s="50"/>
      <c r="M124" s="28"/>
      <c r="N124" s="45"/>
      <c r="O124" s="102"/>
      <c r="P124" s="102"/>
      <c r="Q124" s="102"/>
      <c r="R124" s="34"/>
      <c r="S124" s="45"/>
      <c r="T124" s="45"/>
      <c r="U124" s="96"/>
      <c r="V124" s="28"/>
      <c r="W124" s="34"/>
      <c r="X124" s="103"/>
      <c r="Y124" s="1"/>
      <c r="Z124" s="1"/>
      <c r="AA124" s="1"/>
    </row>
    <row r="125" ht="15.75" customHeight="1">
      <c r="A125" s="28"/>
      <c r="B125" s="28"/>
      <c r="C125" s="28"/>
      <c r="D125" s="28"/>
      <c r="E125" s="45"/>
      <c r="F125" s="28"/>
      <c r="G125" s="95"/>
      <c r="H125" s="95"/>
      <c r="I125" s="95"/>
      <c r="J125" s="95"/>
      <c r="K125" s="95"/>
      <c r="L125" s="50"/>
      <c r="M125" s="28"/>
      <c r="N125" s="45"/>
      <c r="O125" s="102"/>
      <c r="P125" s="102"/>
      <c r="Q125" s="102"/>
      <c r="R125" s="34"/>
      <c r="S125" s="45"/>
      <c r="T125" s="45"/>
      <c r="U125" s="96"/>
      <c r="V125" s="28"/>
      <c r="W125" s="34"/>
      <c r="X125" s="103"/>
      <c r="Y125" s="1"/>
      <c r="Z125" s="1"/>
      <c r="AA125" s="1"/>
    </row>
    <row r="126" ht="15.75" customHeight="1">
      <c r="A126" s="28"/>
      <c r="B126" s="28"/>
      <c r="C126" s="28"/>
      <c r="D126" s="28"/>
      <c r="E126" s="45"/>
      <c r="F126" s="28"/>
      <c r="G126" s="95"/>
      <c r="H126" s="95"/>
      <c r="I126" s="95"/>
      <c r="J126" s="95"/>
      <c r="K126" s="95"/>
      <c r="L126" s="50"/>
      <c r="M126" s="28"/>
      <c r="N126" s="45"/>
      <c r="O126" s="102"/>
      <c r="P126" s="102"/>
      <c r="Q126" s="102"/>
      <c r="R126" s="34"/>
      <c r="S126" s="45"/>
      <c r="T126" s="45"/>
      <c r="U126" s="96"/>
      <c r="V126" s="28"/>
      <c r="W126" s="34"/>
      <c r="X126" s="103"/>
      <c r="Y126" s="1"/>
      <c r="Z126" s="1"/>
      <c r="AA126" s="1"/>
    </row>
    <row r="127" ht="15.75" customHeight="1">
      <c r="A127" s="28"/>
      <c r="B127" s="28"/>
      <c r="C127" s="28"/>
      <c r="D127" s="28"/>
      <c r="E127" s="45"/>
      <c r="F127" s="28"/>
      <c r="G127" s="95"/>
      <c r="H127" s="95"/>
      <c r="I127" s="95"/>
      <c r="J127" s="95"/>
      <c r="K127" s="95"/>
      <c r="L127" s="50"/>
      <c r="M127" s="28"/>
      <c r="N127" s="45"/>
      <c r="O127" s="102"/>
      <c r="P127" s="102"/>
      <c r="Q127" s="102"/>
      <c r="R127" s="34"/>
      <c r="S127" s="45"/>
      <c r="T127" s="45"/>
      <c r="U127" s="96"/>
      <c r="V127" s="28"/>
      <c r="W127" s="34"/>
      <c r="X127" s="103"/>
      <c r="Y127" s="1"/>
      <c r="Z127" s="1"/>
      <c r="AA127" s="1"/>
    </row>
    <row r="128" ht="15.75" customHeight="1">
      <c r="A128" s="28"/>
      <c r="B128" s="28"/>
      <c r="C128" s="28"/>
      <c r="D128" s="28"/>
      <c r="E128" s="45"/>
      <c r="F128" s="28"/>
      <c r="G128" s="95"/>
      <c r="H128" s="95"/>
      <c r="I128" s="95"/>
      <c r="J128" s="95"/>
      <c r="K128" s="95"/>
      <c r="L128" s="50"/>
      <c r="M128" s="28"/>
      <c r="N128" s="45"/>
      <c r="O128" s="102"/>
      <c r="P128" s="102"/>
      <c r="Q128" s="102"/>
      <c r="R128" s="34"/>
      <c r="S128" s="45"/>
      <c r="T128" s="45"/>
      <c r="U128" s="96"/>
      <c r="V128" s="28"/>
      <c r="W128" s="34"/>
      <c r="X128" s="103"/>
      <c r="Y128" s="1"/>
      <c r="Z128" s="1"/>
      <c r="AA128" s="1"/>
    </row>
    <row r="129" ht="15.75" customHeight="1">
      <c r="A129" s="28"/>
      <c r="B129" s="28"/>
      <c r="C129" s="28"/>
      <c r="D129" s="28"/>
      <c r="E129" s="45"/>
      <c r="F129" s="28"/>
      <c r="G129" s="95"/>
      <c r="H129" s="95"/>
      <c r="I129" s="95"/>
      <c r="J129" s="95"/>
      <c r="K129" s="95"/>
      <c r="L129" s="50"/>
      <c r="M129" s="28"/>
      <c r="N129" s="45"/>
      <c r="O129" s="102"/>
      <c r="P129" s="102"/>
      <c r="Q129" s="102"/>
      <c r="R129" s="34"/>
      <c r="S129" s="45"/>
      <c r="T129" s="45"/>
      <c r="U129" s="96"/>
      <c r="V129" s="28"/>
      <c r="W129" s="34"/>
      <c r="X129" s="103"/>
      <c r="Y129" s="1"/>
      <c r="Z129" s="1"/>
      <c r="AA129" s="1"/>
    </row>
    <row r="130" ht="15.75" customHeight="1">
      <c r="A130" s="28"/>
      <c r="B130" s="28"/>
      <c r="C130" s="28"/>
      <c r="D130" s="28"/>
      <c r="E130" s="45"/>
      <c r="F130" s="28"/>
      <c r="G130" s="95"/>
      <c r="H130" s="95"/>
      <c r="I130" s="95"/>
      <c r="J130" s="95"/>
      <c r="K130" s="95"/>
      <c r="L130" s="50"/>
      <c r="M130" s="28"/>
      <c r="N130" s="45"/>
      <c r="O130" s="102"/>
      <c r="P130" s="102"/>
      <c r="Q130" s="102"/>
      <c r="R130" s="34"/>
      <c r="S130" s="45"/>
      <c r="T130" s="45"/>
      <c r="U130" s="96"/>
      <c r="V130" s="28"/>
      <c r="W130" s="34"/>
      <c r="X130" s="103"/>
      <c r="Y130" s="1"/>
      <c r="Z130" s="1"/>
      <c r="AA130" s="1"/>
    </row>
    <row r="131" ht="15.75" customHeight="1">
      <c r="A131" s="28"/>
      <c r="B131" s="28"/>
      <c r="C131" s="28"/>
      <c r="D131" s="28"/>
      <c r="E131" s="45"/>
      <c r="F131" s="28"/>
      <c r="G131" s="95"/>
      <c r="H131" s="95"/>
      <c r="I131" s="95"/>
      <c r="J131" s="95"/>
      <c r="K131" s="95"/>
      <c r="L131" s="50"/>
      <c r="M131" s="28"/>
      <c r="N131" s="45"/>
      <c r="O131" s="102"/>
      <c r="P131" s="102"/>
      <c r="Q131" s="102"/>
      <c r="R131" s="34"/>
      <c r="S131" s="45"/>
      <c r="T131" s="45"/>
      <c r="U131" s="96"/>
      <c r="V131" s="28"/>
      <c r="W131" s="34"/>
      <c r="X131" s="103"/>
      <c r="Y131" s="1"/>
      <c r="Z131" s="1"/>
      <c r="AA131" s="1"/>
    </row>
    <row r="132" ht="15.75" customHeight="1">
      <c r="A132" s="28"/>
      <c r="B132" s="28"/>
      <c r="C132" s="28"/>
      <c r="D132" s="28"/>
      <c r="E132" s="45"/>
      <c r="F132" s="28"/>
      <c r="G132" s="95"/>
      <c r="H132" s="95"/>
      <c r="I132" s="95"/>
      <c r="J132" s="95"/>
      <c r="K132" s="95"/>
      <c r="L132" s="50"/>
      <c r="M132" s="28"/>
      <c r="N132" s="45"/>
      <c r="O132" s="102"/>
      <c r="P132" s="102"/>
      <c r="Q132" s="102"/>
      <c r="R132" s="34"/>
      <c r="S132" s="45"/>
      <c r="T132" s="45"/>
      <c r="U132" s="96"/>
      <c r="V132" s="28"/>
      <c r="W132" s="34"/>
      <c r="X132" s="103"/>
      <c r="Y132" s="1"/>
      <c r="Z132" s="1"/>
      <c r="AA132" s="1"/>
    </row>
    <row r="133" ht="15.75" customHeight="1">
      <c r="A133" s="28"/>
      <c r="B133" s="28"/>
      <c r="C133" s="28"/>
      <c r="D133" s="28"/>
      <c r="E133" s="45"/>
      <c r="F133" s="28"/>
      <c r="G133" s="95"/>
      <c r="H133" s="95"/>
      <c r="I133" s="95"/>
      <c r="J133" s="95"/>
      <c r="K133" s="95"/>
      <c r="L133" s="50"/>
      <c r="M133" s="28"/>
      <c r="N133" s="45"/>
      <c r="O133" s="102"/>
      <c r="P133" s="102"/>
      <c r="Q133" s="102"/>
      <c r="R133" s="34"/>
      <c r="S133" s="45"/>
      <c r="T133" s="45"/>
      <c r="U133" s="96"/>
      <c r="V133" s="28"/>
      <c r="W133" s="34"/>
      <c r="X133" s="103"/>
      <c r="Y133" s="1"/>
      <c r="Z133" s="1"/>
      <c r="AA133" s="1"/>
    </row>
    <row r="134" ht="15.75" customHeight="1">
      <c r="A134" s="28"/>
      <c r="B134" s="28"/>
      <c r="C134" s="28"/>
      <c r="D134" s="28"/>
      <c r="E134" s="45"/>
      <c r="F134" s="28"/>
      <c r="G134" s="95"/>
      <c r="H134" s="95"/>
      <c r="I134" s="95"/>
      <c r="J134" s="95"/>
      <c r="K134" s="95"/>
      <c r="L134" s="50"/>
      <c r="M134" s="28"/>
      <c r="N134" s="45"/>
      <c r="O134" s="102"/>
      <c r="P134" s="102"/>
      <c r="Q134" s="102"/>
      <c r="R134" s="34"/>
      <c r="S134" s="45"/>
      <c r="T134" s="45"/>
      <c r="U134" s="96"/>
      <c r="V134" s="28"/>
      <c r="W134" s="34"/>
      <c r="X134" s="103"/>
      <c r="Y134" s="1"/>
      <c r="Z134" s="1"/>
      <c r="AA134" s="1"/>
    </row>
    <row r="135" ht="15.75" customHeight="1">
      <c r="A135" s="28"/>
      <c r="B135" s="28"/>
      <c r="C135" s="28"/>
      <c r="D135" s="28"/>
      <c r="E135" s="45"/>
      <c r="F135" s="28"/>
      <c r="G135" s="95"/>
      <c r="H135" s="95"/>
      <c r="I135" s="95"/>
      <c r="J135" s="95"/>
      <c r="K135" s="95"/>
      <c r="L135" s="50"/>
      <c r="M135" s="28"/>
      <c r="N135" s="45"/>
      <c r="O135" s="102"/>
      <c r="P135" s="102"/>
      <c r="Q135" s="102"/>
      <c r="R135" s="34"/>
      <c r="S135" s="45"/>
      <c r="T135" s="45"/>
      <c r="U135" s="96"/>
      <c r="V135" s="28"/>
      <c r="W135" s="34"/>
      <c r="X135" s="103"/>
      <c r="Y135" s="1"/>
      <c r="Z135" s="1"/>
      <c r="AA135" s="1"/>
    </row>
    <row r="136" ht="15.75" customHeight="1">
      <c r="A136" s="28"/>
      <c r="B136" s="28"/>
      <c r="C136" s="28"/>
      <c r="D136" s="28"/>
      <c r="E136" s="45"/>
      <c r="F136" s="28"/>
      <c r="G136" s="95"/>
      <c r="H136" s="95"/>
      <c r="I136" s="95"/>
      <c r="J136" s="95"/>
      <c r="K136" s="95"/>
      <c r="L136" s="50"/>
      <c r="M136" s="28"/>
      <c r="N136" s="45"/>
      <c r="O136" s="102"/>
      <c r="P136" s="102"/>
      <c r="Q136" s="102"/>
      <c r="R136" s="34"/>
      <c r="S136" s="45"/>
      <c r="T136" s="45"/>
      <c r="U136" s="96"/>
      <c r="V136" s="28"/>
      <c r="W136" s="34"/>
      <c r="X136" s="103"/>
      <c r="Y136" s="1"/>
      <c r="Z136" s="1"/>
      <c r="AA136" s="1"/>
    </row>
    <row r="137" ht="15.75" customHeight="1">
      <c r="A137" s="28"/>
      <c r="B137" s="28"/>
      <c r="C137" s="28"/>
      <c r="D137" s="28"/>
      <c r="E137" s="45"/>
      <c r="F137" s="28"/>
      <c r="G137" s="95"/>
      <c r="H137" s="95"/>
      <c r="I137" s="95"/>
      <c r="J137" s="95"/>
      <c r="K137" s="95"/>
      <c r="L137" s="50"/>
      <c r="M137" s="28"/>
      <c r="N137" s="45"/>
      <c r="O137" s="102"/>
      <c r="P137" s="102"/>
      <c r="Q137" s="102"/>
      <c r="R137" s="34"/>
      <c r="S137" s="45"/>
      <c r="T137" s="45"/>
      <c r="U137" s="96"/>
      <c r="V137" s="28"/>
      <c r="W137" s="34"/>
      <c r="X137" s="103"/>
      <c r="Y137" s="1"/>
      <c r="Z137" s="1"/>
      <c r="AA137" s="1"/>
    </row>
    <row r="138" ht="15.75" customHeight="1">
      <c r="A138" s="28"/>
      <c r="B138" s="28"/>
      <c r="C138" s="28"/>
      <c r="D138" s="28"/>
      <c r="E138" s="45"/>
      <c r="F138" s="28"/>
      <c r="G138" s="95"/>
      <c r="H138" s="95"/>
      <c r="I138" s="95"/>
      <c r="J138" s="95"/>
      <c r="K138" s="95"/>
      <c r="L138" s="50"/>
      <c r="M138" s="28"/>
      <c r="N138" s="45"/>
      <c r="O138" s="102"/>
      <c r="P138" s="102"/>
      <c r="Q138" s="102"/>
      <c r="R138" s="34"/>
      <c r="S138" s="45"/>
      <c r="T138" s="45"/>
      <c r="U138" s="96"/>
      <c r="V138" s="28"/>
      <c r="W138" s="34"/>
      <c r="X138" s="103"/>
      <c r="Y138" s="1"/>
      <c r="Z138" s="1"/>
      <c r="AA138" s="1"/>
    </row>
    <row r="139" ht="15.75" customHeight="1">
      <c r="A139" s="28"/>
      <c r="B139" s="28"/>
      <c r="C139" s="28"/>
      <c r="D139" s="28"/>
      <c r="E139" s="45"/>
      <c r="F139" s="28"/>
      <c r="G139" s="95"/>
      <c r="H139" s="95"/>
      <c r="I139" s="95"/>
      <c r="J139" s="95"/>
      <c r="K139" s="95"/>
      <c r="L139" s="50"/>
      <c r="M139" s="28"/>
      <c r="N139" s="45"/>
      <c r="O139" s="102"/>
      <c r="P139" s="102"/>
      <c r="Q139" s="102"/>
      <c r="R139" s="34"/>
      <c r="S139" s="45"/>
      <c r="T139" s="45"/>
      <c r="U139" s="96"/>
      <c r="V139" s="28"/>
      <c r="W139" s="34"/>
      <c r="X139" s="103"/>
      <c r="Y139" s="1"/>
      <c r="Z139" s="1"/>
      <c r="AA139" s="1"/>
    </row>
    <row r="140" ht="15.75" customHeight="1">
      <c r="A140" s="28"/>
      <c r="B140" s="28"/>
      <c r="C140" s="28"/>
      <c r="D140" s="28"/>
      <c r="E140" s="45"/>
      <c r="F140" s="28"/>
      <c r="G140" s="95"/>
      <c r="H140" s="95"/>
      <c r="I140" s="95"/>
      <c r="J140" s="95"/>
      <c r="K140" s="95"/>
      <c r="L140" s="50"/>
      <c r="M140" s="28"/>
      <c r="N140" s="45"/>
      <c r="O140" s="102"/>
      <c r="P140" s="102"/>
      <c r="Q140" s="102"/>
      <c r="R140" s="34"/>
      <c r="S140" s="45"/>
      <c r="T140" s="45"/>
      <c r="U140" s="96"/>
      <c r="V140" s="28"/>
      <c r="W140" s="34"/>
      <c r="X140" s="103"/>
      <c r="Y140" s="1"/>
      <c r="Z140" s="1"/>
      <c r="AA140" s="1"/>
    </row>
    <row r="141" ht="15.75" customHeight="1">
      <c r="A141" s="28"/>
      <c r="B141" s="28"/>
      <c r="C141" s="28"/>
      <c r="D141" s="28"/>
      <c r="E141" s="45"/>
      <c r="F141" s="28"/>
      <c r="G141" s="95"/>
      <c r="H141" s="95"/>
      <c r="I141" s="95"/>
      <c r="J141" s="95"/>
      <c r="K141" s="95"/>
      <c r="L141" s="50"/>
      <c r="M141" s="28"/>
      <c r="N141" s="45"/>
      <c r="O141" s="102"/>
      <c r="P141" s="102"/>
      <c r="Q141" s="102"/>
      <c r="R141" s="34"/>
      <c r="S141" s="45"/>
      <c r="T141" s="45"/>
      <c r="U141" s="96"/>
      <c r="V141" s="28"/>
      <c r="W141" s="34"/>
      <c r="X141" s="103"/>
      <c r="Y141" s="1"/>
      <c r="Z141" s="1"/>
      <c r="AA141" s="1"/>
    </row>
    <row r="142" ht="15.75" customHeight="1">
      <c r="A142" s="28"/>
      <c r="B142" s="28"/>
      <c r="C142" s="28"/>
      <c r="D142" s="28"/>
      <c r="E142" s="45"/>
      <c r="F142" s="28"/>
      <c r="G142" s="95"/>
      <c r="H142" s="95"/>
      <c r="I142" s="95"/>
      <c r="J142" s="95"/>
      <c r="K142" s="95"/>
      <c r="L142" s="50"/>
      <c r="M142" s="28"/>
      <c r="N142" s="45"/>
      <c r="O142" s="102"/>
      <c r="P142" s="102"/>
      <c r="Q142" s="102"/>
      <c r="R142" s="34"/>
      <c r="S142" s="45"/>
      <c r="T142" s="45"/>
      <c r="U142" s="96"/>
      <c r="V142" s="28"/>
      <c r="W142" s="34"/>
      <c r="X142" s="103"/>
      <c r="Y142" s="1"/>
      <c r="Z142" s="1"/>
      <c r="AA142" s="1"/>
    </row>
    <row r="143" ht="15.75" customHeight="1">
      <c r="A143" s="28"/>
      <c r="B143" s="28"/>
      <c r="C143" s="28"/>
      <c r="D143" s="28"/>
      <c r="E143" s="45"/>
      <c r="F143" s="28"/>
      <c r="G143" s="95"/>
      <c r="H143" s="95"/>
      <c r="I143" s="95"/>
      <c r="J143" s="95"/>
      <c r="K143" s="95"/>
      <c r="L143" s="50"/>
      <c r="M143" s="28"/>
      <c r="N143" s="45"/>
      <c r="O143" s="102"/>
      <c r="P143" s="102"/>
      <c r="Q143" s="102"/>
      <c r="R143" s="34"/>
      <c r="S143" s="45"/>
      <c r="T143" s="45"/>
      <c r="U143" s="96"/>
      <c r="V143" s="28"/>
      <c r="W143" s="34"/>
      <c r="X143" s="103"/>
      <c r="Y143" s="1"/>
      <c r="Z143" s="1"/>
      <c r="AA143" s="1"/>
    </row>
    <row r="144" ht="15.75" customHeight="1">
      <c r="A144" s="28"/>
      <c r="B144" s="28"/>
      <c r="C144" s="28"/>
      <c r="D144" s="28"/>
      <c r="E144" s="45"/>
      <c r="F144" s="28"/>
      <c r="G144" s="95"/>
      <c r="H144" s="95"/>
      <c r="I144" s="95"/>
      <c r="J144" s="95"/>
      <c r="K144" s="95"/>
      <c r="L144" s="50"/>
      <c r="M144" s="28"/>
      <c r="N144" s="45"/>
      <c r="O144" s="102"/>
      <c r="P144" s="102"/>
      <c r="Q144" s="102"/>
      <c r="R144" s="34"/>
      <c r="S144" s="45"/>
      <c r="T144" s="45"/>
      <c r="U144" s="96"/>
      <c r="V144" s="28"/>
      <c r="W144" s="34"/>
      <c r="X144" s="103"/>
      <c r="Y144" s="1"/>
      <c r="Z144" s="1"/>
      <c r="AA144" s="1"/>
    </row>
    <row r="145" ht="15.75" customHeight="1">
      <c r="A145" s="28"/>
      <c r="B145" s="28"/>
      <c r="C145" s="28"/>
      <c r="D145" s="28"/>
      <c r="E145" s="45"/>
      <c r="F145" s="28"/>
      <c r="G145" s="95"/>
      <c r="H145" s="95"/>
      <c r="I145" s="95"/>
      <c r="J145" s="95"/>
      <c r="K145" s="95"/>
      <c r="L145" s="50"/>
      <c r="M145" s="28"/>
      <c r="N145" s="45"/>
      <c r="O145" s="102"/>
      <c r="P145" s="102"/>
      <c r="Q145" s="102"/>
      <c r="R145" s="34"/>
      <c r="S145" s="45"/>
      <c r="T145" s="45"/>
      <c r="U145" s="96"/>
      <c r="V145" s="28"/>
      <c r="W145" s="34"/>
      <c r="X145" s="103"/>
      <c r="Y145" s="1"/>
      <c r="Z145" s="1"/>
      <c r="AA145" s="1"/>
    </row>
    <row r="146" ht="15.75" customHeight="1">
      <c r="A146" s="28"/>
      <c r="B146" s="28"/>
      <c r="C146" s="28"/>
      <c r="D146" s="28"/>
      <c r="E146" s="45"/>
      <c r="F146" s="28"/>
      <c r="G146" s="95"/>
      <c r="H146" s="95"/>
      <c r="I146" s="95"/>
      <c r="J146" s="95"/>
      <c r="K146" s="95"/>
      <c r="L146" s="50"/>
      <c r="M146" s="28"/>
      <c r="N146" s="45"/>
      <c r="O146" s="102"/>
      <c r="P146" s="102"/>
      <c r="Q146" s="102"/>
      <c r="R146" s="34"/>
      <c r="S146" s="45"/>
      <c r="T146" s="45"/>
      <c r="U146" s="96"/>
      <c r="V146" s="28"/>
      <c r="W146" s="34"/>
      <c r="X146" s="103"/>
      <c r="Y146" s="1"/>
      <c r="Z146" s="1"/>
      <c r="AA146" s="1"/>
    </row>
    <row r="147" ht="15.75" customHeight="1">
      <c r="A147" s="28"/>
      <c r="B147" s="28"/>
      <c r="C147" s="28"/>
      <c r="D147" s="28"/>
      <c r="E147" s="45"/>
      <c r="F147" s="28"/>
      <c r="G147" s="95"/>
      <c r="H147" s="95"/>
      <c r="I147" s="95"/>
      <c r="J147" s="95"/>
      <c r="K147" s="95"/>
      <c r="L147" s="50"/>
      <c r="M147" s="28"/>
      <c r="N147" s="45"/>
      <c r="O147" s="102"/>
      <c r="P147" s="102"/>
      <c r="Q147" s="102"/>
      <c r="R147" s="34"/>
      <c r="S147" s="45"/>
      <c r="T147" s="45"/>
      <c r="U147" s="96"/>
      <c r="V147" s="28"/>
      <c r="W147" s="34"/>
      <c r="X147" s="103"/>
      <c r="Y147" s="1"/>
      <c r="Z147" s="1"/>
      <c r="AA147" s="1"/>
    </row>
    <row r="148" ht="15.75" customHeight="1">
      <c r="A148" s="28"/>
      <c r="B148" s="28"/>
      <c r="C148" s="28"/>
      <c r="D148" s="28"/>
      <c r="E148" s="45"/>
      <c r="F148" s="28"/>
      <c r="G148" s="95"/>
      <c r="H148" s="95"/>
      <c r="I148" s="95"/>
      <c r="J148" s="95"/>
      <c r="K148" s="95"/>
      <c r="L148" s="50"/>
      <c r="M148" s="28"/>
      <c r="N148" s="45"/>
      <c r="O148" s="102"/>
      <c r="P148" s="102"/>
      <c r="Q148" s="102"/>
      <c r="R148" s="34"/>
      <c r="S148" s="45"/>
      <c r="T148" s="45"/>
      <c r="U148" s="96"/>
      <c r="V148" s="28"/>
      <c r="W148" s="34"/>
      <c r="X148" s="103"/>
      <c r="Y148" s="1"/>
      <c r="Z148" s="1"/>
      <c r="AA148" s="1"/>
    </row>
    <row r="149" ht="15.75" customHeight="1">
      <c r="A149" s="28"/>
      <c r="B149" s="28"/>
      <c r="C149" s="28"/>
      <c r="D149" s="28"/>
      <c r="E149" s="45"/>
      <c r="F149" s="28"/>
      <c r="G149" s="95"/>
      <c r="H149" s="95"/>
      <c r="I149" s="95"/>
      <c r="J149" s="95"/>
      <c r="K149" s="95"/>
      <c r="L149" s="50"/>
      <c r="M149" s="28"/>
      <c r="N149" s="45"/>
      <c r="O149" s="102"/>
      <c r="P149" s="102"/>
      <c r="Q149" s="102"/>
      <c r="R149" s="34"/>
      <c r="S149" s="45"/>
      <c r="T149" s="45"/>
      <c r="U149" s="96"/>
      <c r="V149" s="28"/>
      <c r="W149" s="34"/>
      <c r="X149" s="103"/>
      <c r="Y149" s="1"/>
      <c r="Z149" s="1"/>
      <c r="AA149" s="1"/>
    </row>
    <row r="150" ht="15.75" customHeight="1">
      <c r="A150" s="28"/>
      <c r="B150" s="28"/>
      <c r="C150" s="28"/>
      <c r="D150" s="28"/>
      <c r="E150" s="45"/>
      <c r="F150" s="28"/>
      <c r="G150" s="95"/>
      <c r="H150" s="95"/>
      <c r="I150" s="95"/>
      <c r="J150" s="95"/>
      <c r="K150" s="95"/>
      <c r="L150" s="50"/>
      <c r="M150" s="28"/>
      <c r="N150" s="45"/>
      <c r="O150" s="102"/>
      <c r="P150" s="102"/>
      <c r="Q150" s="102"/>
      <c r="R150" s="34"/>
      <c r="S150" s="45"/>
      <c r="T150" s="45"/>
      <c r="U150" s="96"/>
      <c r="V150" s="28"/>
      <c r="W150" s="34"/>
      <c r="X150" s="103"/>
      <c r="Y150" s="1"/>
      <c r="Z150" s="1"/>
      <c r="AA150" s="1"/>
    </row>
    <row r="151" ht="15.75" customHeight="1">
      <c r="A151" s="28"/>
      <c r="B151" s="28"/>
      <c r="C151" s="28"/>
      <c r="D151" s="28"/>
      <c r="E151" s="45"/>
      <c r="F151" s="28"/>
      <c r="G151" s="95"/>
      <c r="H151" s="95"/>
      <c r="I151" s="95"/>
      <c r="J151" s="95"/>
      <c r="K151" s="95"/>
      <c r="L151" s="50"/>
      <c r="M151" s="28"/>
      <c r="N151" s="45"/>
      <c r="O151" s="102"/>
      <c r="P151" s="102"/>
      <c r="Q151" s="102"/>
      <c r="R151" s="34"/>
      <c r="S151" s="45"/>
      <c r="T151" s="45"/>
      <c r="U151" s="96"/>
      <c r="V151" s="28"/>
      <c r="W151" s="34"/>
      <c r="X151" s="103"/>
      <c r="Y151" s="1"/>
      <c r="Z151" s="1"/>
      <c r="AA151" s="1"/>
    </row>
    <row r="152" ht="15.75" customHeight="1">
      <c r="A152" s="28"/>
      <c r="B152" s="28"/>
      <c r="C152" s="28"/>
      <c r="D152" s="28"/>
      <c r="E152" s="45"/>
      <c r="F152" s="28"/>
      <c r="G152" s="95"/>
      <c r="H152" s="95"/>
      <c r="I152" s="95"/>
      <c r="J152" s="95"/>
      <c r="K152" s="95"/>
      <c r="L152" s="50"/>
      <c r="M152" s="28"/>
      <c r="N152" s="45"/>
      <c r="O152" s="102"/>
      <c r="P152" s="102"/>
      <c r="Q152" s="102"/>
      <c r="R152" s="34"/>
      <c r="S152" s="45"/>
      <c r="T152" s="45"/>
      <c r="U152" s="96"/>
      <c r="V152" s="28"/>
      <c r="W152" s="34"/>
      <c r="X152" s="103"/>
      <c r="Y152" s="1"/>
      <c r="Z152" s="1"/>
      <c r="AA152" s="1"/>
    </row>
    <row r="153" ht="15.75" customHeight="1">
      <c r="A153" s="28"/>
      <c r="B153" s="28"/>
      <c r="C153" s="28"/>
      <c r="D153" s="28"/>
      <c r="E153" s="45"/>
      <c r="F153" s="28"/>
      <c r="G153" s="95"/>
      <c r="H153" s="95"/>
      <c r="I153" s="95"/>
      <c r="J153" s="95"/>
      <c r="K153" s="95"/>
      <c r="L153" s="50"/>
      <c r="M153" s="28"/>
      <c r="N153" s="45"/>
      <c r="O153" s="102"/>
      <c r="P153" s="102"/>
      <c r="Q153" s="102"/>
      <c r="R153" s="34"/>
      <c r="S153" s="45"/>
      <c r="T153" s="45"/>
      <c r="U153" s="96"/>
      <c r="V153" s="28"/>
      <c r="W153" s="34"/>
      <c r="X153" s="103"/>
      <c r="Y153" s="1"/>
      <c r="Z153" s="1"/>
      <c r="AA153" s="1"/>
    </row>
    <row r="154" ht="15.75" customHeight="1">
      <c r="A154" s="28"/>
      <c r="B154" s="28"/>
      <c r="C154" s="28"/>
      <c r="D154" s="28"/>
      <c r="E154" s="45"/>
      <c r="F154" s="28"/>
      <c r="G154" s="95"/>
      <c r="H154" s="95"/>
      <c r="I154" s="95"/>
      <c r="J154" s="95"/>
      <c r="K154" s="95"/>
      <c r="L154" s="50"/>
      <c r="M154" s="28"/>
      <c r="N154" s="45"/>
      <c r="O154" s="102"/>
      <c r="P154" s="102"/>
      <c r="Q154" s="102"/>
      <c r="R154" s="34"/>
      <c r="S154" s="45"/>
      <c r="T154" s="45"/>
      <c r="U154" s="96"/>
      <c r="V154" s="28"/>
      <c r="W154" s="34"/>
      <c r="X154" s="103"/>
      <c r="Y154" s="1"/>
      <c r="Z154" s="1"/>
      <c r="AA154" s="1"/>
    </row>
    <row r="155" ht="15.75" customHeight="1">
      <c r="A155" s="28"/>
      <c r="B155" s="28"/>
      <c r="C155" s="28"/>
      <c r="D155" s="28"/>
      <c r="E155" s="45"/>
      <c r="F155" s="28"/>
      <c r="G155" s="95"/>
      <c r="H155" s="95"/>
      <c r="I155" s="95"/>
      <c r="J155" s="95"/>
      <c r="K155" s="95"/>
      <c r="L155" s="50"/>
      <c r="M155" s="28"/>
      <c r="N155" s="45"/>
      <c r="O155" s="102"/>
      <c r="P155" s="102"/>
      <c r="Q155" s="102"/>
      <c r="R155" s="34"/>
      <c r="S155" s="45"/>
      <c r="T155" s="45"/>
      <c r="U155" s="96"/>
      <c r="V155" s="28"/>
      <c r="W155" s="34"/>
      <c r="X155" s="103"/>
      <c r="Y155" s="1"/>
      <c r="Z155" s="1"/>
      <c r="AA155" s="1"/>
    </row>
    <row r="156" ht="15.75" customHeight="1">
      <c r="A156" s="28"/>
      <c r="B156" s="28"/>
      <c r="C156" s="28"/>
      <c r="D156" s="28"/>
      <c r="E156" s="45"/>
      <c r="F156" s="28"/>
      <c r="G156" s="95"/>
      <c r="H156" s="95"/>
      <c r="I156" s="95"/>
      <c r="J156" s="95"/>
      <c r="K156" s="95"/>
      <c r="L156" s="50"/>
      <c r="M156" s="28"/>
      <c r="N156" s="45"/>
      <c r="O156" s="102"/>
      <c r="P156" s="102"/>
      <c r="Q156" s="102"/>
      <c r="R156" s="34"/>
      <c r="S156" s="45"/>
      <c r="T156" s="45"/>
      <c r="U156" s="96"/>
      <c r="V156" s="28"/>
      <c r="W156" s="34"/>
      <c r="X156" s="103"/>
      <c r="Y156" s="1"/>
      <c r="Z156" s="1"/>
      <c r="AA156" s="1"/>
    </row>
    <row r="157" ht="15.75" customHeight="1">
      <c r="A157" s="28"/>
      <c r="B157" s="28"/>
      <c r="C157" s="28"/>
      <c r="D157" s="28"/>
      <c r="E157" s="45"/>
      <c r="F157" s="28"/>
      <c r="G157" s="95"/>
      <c r="H157" s="95"/>
      <c r="I157" s="95"/>
      <c r="J157" s="95"/>
      <c r="K157" s="95"/>
      <c r="L157" s="50"/>
      <c r="M157" s="28"/>
      <c r="N157" s="45"/>
      <c r="O157" s="102"/>
      <c r="P157" s="102"/>
      <c r="Q157" s="102"/>
      <c r="R157" s="34"/>
      <c r="S157" s="45"/>
      <c r="T157" s="45"/>
      <c r="U157" s="96"/>
      <c r="V157" s="28"/>
      <c r="W157" s="34"/>
      <c r="X157" s="103"/>
      <c r="Y157" s="1"/>
      <c r="Z157" s="1"/>
      <c r="AA157" s="1"/>
    </row>
    <row r="158" ht="15.75" customHeight="1">
      <c r="A158" s="28"/>
      <c r="B158" s="28"/>
      <c r="C158" s="28"/>
      <c r="D158" s="28"/>
      <c r="E158" s="45"/>
      <c r="F158" s="28"/>
      <c r="G158" s="95"/>
      <c r="H158" s="95"/>
      <c r="I158" s="95"/>
      <c r="J158" s="95"/>
      <c r="K158" s="95"/>
      <c r="L158" s="50"/>
      <c r="M158" s="28"/>
      <c r="N158" s="45"/>
      <c r="O158" s="102"/>
      <c r="P158" s="102"/>
      <c r="Q158" s="102"/>
      <c r="R158" s="34"/>
      <c r="S158" s="45"/>
      <c r="T158" s="45"/>
      <c r="U158" s="96"/>
      <c r="V158" s="28"/>
      <c r="W158" s="34"/>
      <c r="X158" s="103"/>
      <c r="Y158" s="1"/>
      <c r="Z158" s="1"/>
      <c r="AA158" s="1"/>
    </row>
    <row r="159" ht="15.75" customHeight="1">
      <c r="A159" s="28"/>
      <c r="B159" s="28"/>
      <c r="C159" s="28"/>
      <c r="D159" s="28"/>
      <c r="E159" s="45"/>
      <c r="F159" s="28"/>
      <c r="G159" s="95"/>
      <c r="H159" s="95"/>
      <c r="I159" s="95"/>
      <c r="J159" s="95"/>
      <c r="K159" s="95"/>
      <c r="L159" s="50"/>
      <c r="M159" s="28"/>
      <c r="N159" s="45"/>
      <c r="O159" s="102"/>
      <c r="P159" s="102"/>
      <c r="Q159" s="102"/>
      <c r="R159" s="34"/>
      <c r="S159" s="45"/>
      <c r="T159" s="45"/>
      <c r="U159" s="96"/>
      <c r="V159" s="28"/>
      <c r="W159" s="34"/>
      <c r="X159" s="103"/>
      <c r="Y159" s="1"/>
      <c r="Z159" s="1"/>
      <c r="AA159" s="1"/>
    </row>
    <row r="160" ht="15.75" customHeight="1">
      <c r="A160" s="28"/>
      <c r="B160" s="28"/>
      <c r="C160" s="28"/>
      <c r="D160" s="28"/>
      <c r="E160" s="45"/>
      <c r="F160" s="28"/>
      <c r="G160" s="95"/>
      <c r="H160" s="95"/>
      <c r="I160" s="95"/>
      <c r="J160" s="95"/>
      <c r="K160" s="95"/>
      <c r="L160" s="50"/>
      <c r="M160" s="28"/>
      <c r="N160" s="45"/>
      <c r="O160" s="102"/>
      <c r="P160" s="102"/>
      <c r="Q160" s="102"/>
      <c r="R160" s="34"/>
      <c r="S160" s="45"/>
      <c r="T160" s="45"/>
      <c r="U160" s="96"/>
      <c r="V160" s="28"/>
      <c r="W160" s="34"/>
      <c r="X160" s="103"/>
      <c r="Y160" s="1"/>
      <c r="Z160" s="1"/>
      <c r="AA160" s="1"/>
    </row>
    <row r="161" ht="15.75" customHeight="1">
      <c r="A161" s="28"/>
      <c r="B161" s="28"/>
      <c r="C161" s="28"/>
      <c r="D161" s="28"/>
      <c r="E161" s="45"/>
      <c r="F161" s="28"/>
      <c r="G161" s="95"/>
      <c r="H161" s="95"/>
      <c r="I161" s="95"/>
      <c r="J161" s="95"/>
      <c r="K161" s="95"/>
      <c r="L161" s="50"/>
      <c r="M161" s="28"/>
      <c r="N161" s="45"/>
      <c r="O161" s="102"/>
      <c r="P161" s="102"/>
      <c r="Q161" s="102"/>
      <c r="R161" s="34"/>
      <c r="S161" s="45"/>
      <c r="T161" s="45"/>
      <c r="U161" s="96"/>
      <c r="V161" s="28"/>
      <c r="W161" s="34"/>
      <c r="X161" s="103"/>
      <c r="Y161" s="1"/>
      <c r="Z161" s="1"/>
      <c r="AA161" s="1"/>
    </row>
    <row r="162" ht="15.75" customHeight="1">
      <c r="A162" s="28"/>
      <c r="B162" s="28"/>
      <c r="C162" s="28"/>
      <c r="D162" s="28"/>
      <c r="E162" s="45"/>
      <c r="F162" s="28"/>
      <c r="G162" s="95"/>
      <c r="H162" s="95"/>
      <c r="I162" s="95"/>
      <c r="J162" s="95"/>
      <c r="K162" s="95"/>
      <c r="L162" s="50"/>
      <c r="M162" s="28"/>
      <c r="N162" s="45"/>
      <c r="O162" s="102"/>
      <c r="P162" s="102"/>
      <c r="Q162" s="102"/>
      <c r="R162" s="34"/>
      <c r="S162" s="45"/>
      <c r="T162" s="45"/>
      <c r="U162" s="96"/>
      <c r="V162" s="28"/>
      <c r="W162" s="34"/>
      <c r="X162" s="103"/>
      <c r="Y162" s="1"/>
      <c r="Z162" s="1"/>
      <c r="AA162" s="1"/>
    </row>
    <row r="163" ht="15.75" customHeight="1">
      <c r="A163" s="28"/>
      <c r="B163" s="28"/>
      <c r="C163" s="28"/>
      <c r="D163" s="28"/>
      <c r="E163" s="45"/>
      <c r="F163" s="28"/>
      <c r="G163" s="95"/>
      <c r="H163" s="95"/>
      <c r="I163" s="95"/>
      <c r="J163" s="95"/>
      <c r="K163" s="95"/>
      <c r="L163" s="50"/>
      <c r="M163" s="28"/>
      <c r="N163" s="45"/>
      <c r="O163" s="102"/>
      <c r="P163" s="102"/>
      <c r="Q163" s="102"/>
      <c r="R163" s="34"/>
      <c r="S163" s="45"/>
      <c r="T163" s="45"/>
      <c r="U163" s="96"/>
      <c r="V163" s="28"/>
      <c r="W163" s="34"/>
      <c r="X163" s="103"/>
      <c r="Y163" s="1"/>
      <c r="Z163" s="1"/>
      <c r="AA163" s="1"/>
    </row>
    <row r="164" ht="15.75" customHeight="1">
      <c r="A164" s="28"/>
      <c r="B164" s="28"/>
      <c r="C164" s="28"/>
      <c r="D164" s="28"/>
      <c r="E164" s="45"/>
      <c r="F164" s="28"/>
      <c r="G164" s="95"/>
      <c r="H164" s="95"/>
      <c r="I164" s="95"/>
      <c r="J164" s="95"/>
      <c r="K164" s="95"/>
      <c r="L164" s="50"/>
      <c r="M164" s="28"/>
      <c r="N164" s="45"/>
      <c r="O164" s="102"/>
      <c r="P164" s="102"/>
      <c r="Q164" s="102"/>
      <c r="R164" s="34"/>
      <c r="S164" s="45"/>
      <c r="T164" s="45"/>
      <c r="U164" s="96"/>
      <c r="V164" s="28"/>
      <c r="W164" s="34"/>
      <c r="X164" s="103"/>
      <c r="Y164" s="1"/>
      <c r="Z164" s="1"/>
      <c r="AA164" s="1"/>
    </row>
    <row r="165" ht="15.75" customHeight="1">
      <c r="A165" s="28"/>
      <c r="B165" s="28"/>
      <c r="C165" s="28"/>
      <c r="D165" s="28"/>
      <c r="E165" s="45"/>
      <c r="F165" s="28"/>
      <c r="G165" s="95"/>
      <c r="H165" s="95"/>
      <c r="I165" s="95"/>
      <c r="J165" s="95"/>
      <c r="K165" s="95"/>
      <c r="L165" s="50"/>
      <c r="M165" s="28"/>
      <c r="N165" s="45"/>
      <c r="O165" s="102"/>
      <c r="P165" s="102"/>
      <c r="Q165" s="102"/>
      <c r="R165" s="34"/>
      <c r="S165" s="45"/>
      <c r="T165" s="45"/>
      <c r="U165" s="96"/>
      <c r="V165" s="28"/>
      <c r="W165" s="34"/>
      <c r="X165" s="103"/>
      <c r="Y165" s="1"/>
      <c r="Z165" s="1"/>
      <c r="AA165" s="1"/>
    </row>
    <row r="166" ht="15.75" customHeight="1">
      <c r="A166" s="28"/>
      <c r="B166" s="28"/>
      <c r="C166" s="28"/>
      <c r="D166" s="28"/>
      <c r="E166" s="45"/>
      <c r="F166" s="28"/>
      <c r="G166" s="95"/>
      <c r="H166" s="95"/>
      <c r="I166" s="95"/>
      <c r="J166" s="95"/>
      <c r="K166" s="95"/>
      <c r="L166" s="50"/>
      <c r="M166" s="28"/>
      <c r="N166" s="45"/>
      <c r="O166" s="102"/>
      <c r="P166" s="102"/>
      <c r="Q166" s="102"/>
      <c r="R166" s="34"/>
      <c r="S166" s="45"/>
      <c r="T166" s="45"/>
      <c r="U166" s="96"/>
      <c r="V166" s="28"/>
      <c r="W166" s="34"/>
      <c r="X166" s="103"/>
      <c r="Y166" s="1"/>
      <c r="Z166" s="1"/>
      <c r="AA166" s="1"/>
    </row>
    <row r="167" ht="15.75" customHeight="1">
      <c r="A167" s="28"/>
      <c r="B167" s="28"/>
      <c r="C167" s="28"/>
      <c r="D167" s="28"/>
      <c r="E167" s="45"/>
      <c r="F167" s="28"/>
      <c r="G167" s="95"/>
      <c r="H167" s="95"/>
      <c r="I167" s="95"/>
      <c r="J167" s="95"/>
      <c r="K167" s="95"/>
      <c r="L167" s="50"/>
      <c r="M167" s="28"/>
      <c r="N167" s="45"/>
      <c r="O167" s="102"/>
      <c r="P167" s="102"/>
      <c r="Q167" s="102"/>
      <c r="R167" s="34"/>
      <c r="S167" s="45"/>
      <c r="T167" s="45"/>
      <c r="U167" s="96"/>
      <c r="V167" s="28"/>
      <c r="W167" s="34"/>
      <c r="X167" s="103"/>
      <c r="Y167" s="1"/>
      <c r="Z167" s="1"/>
      <c r="AA167" s="1"/>
    </row>
    <row r="168" ht="15.75" customHeight="1">
      <c r="A168" s="28"/>
      <c r="B168" s="28"/>
      <c r="C168" s="28"/>
      <c r="D168" s="28"/>
      <c r="E168" s="45"/>
      <c r="F168" s="28"/>
      <c r="G168" s="95"/>
      <c r="H168" s="95"/>
      <c r="I168" s="95"/>
      <c r="J168" s="95"/>
      <c r="K168" s="95"/>
      <c r="L168" s="50"/>
      <c r="M168" s="28"/>
      <c r="N168" s="45"/>
      <c r="O168" s="102"/>
      <c r="P168" s="102"/>
      <c r="Q168" s="102"/>
      <c r="R168" s="34"/>
      <c r="S168" s="45"/>
      <c r="T168" s="45"/>
      <c r="U168" s="96"/>
      <c r="V168" s="28"/>
      <c r="W168" s="34"/>
      <c r="X168" s="103"/>
      <c r="Y168" s="1"/>
      <c r="Z168" s="1"/>
      <c r="AA168" s="1"/>
    </row>
    <row r="169" ht="15.75" customHeight="1">
      <c r="A169" s="28"/>
      <c r="B169" s="28"/>
      <c r="C169" s="28"/>
      <c r="D169" s="28"/>
      <c r="E169" s="45"/>
      <c r="F169" s="28"/>
      <c r="G169" s="95"/>
      <c r="H169" s="95"/>
      <c r="I169" s="95"/>
      <c r="J169" s="95"/>
      <c r="K169" s="95"/>
      <c r="L169" s="50"/>
      <c r="M169" s="28"/>
      <c r="N169" s="45"/>
      <c r="O169" s="102"/>
      <c r="P169" s="102"/>
      <c r="Q169" s="102"/>
      <c r="R169" s="34"/>
      <c r="S169" s="45"/>
      <c r="T169" s="45"/>
      <c r="U169" s="96"/>
      <c r="V169" s="28"/>
      <c r="W169" s="34"/>
      <c r="X169" s="103"/>
      <c r="Y169" s="1"/>
      <c r="Z169" s="1"/>
      <c r="AA169" s="1"/>
    </row>
    <row r="170" ht="15.75" customHeight="1">
      <c r="A170" s="28"/>
      <c r="B170" s="28"/>
      <c r="C170" s="28"/>
      <c r="D170" s="28"/>
      <c r="E170" s="45"/>
      <c r="F170" s="28"/>
      <c r="G170" s="95"/>
      <c r="H170" s="95"/>
      <c r="I170" s="95"/>
      <c r="J170" s="95"/>
      <c r="K170" s="95"/>
      <c r="L170" s="50"/>
      <c r="M170" s="28"/>
      <c r="N170" s="45"/>
      <c r="O170" s="102"/>
      <c r="P170" s="102"/>
      <c r="Q170" s="102"/>
      <c r="R170" s="34"/>
      <c r="S170" s="45"/>
      <c r="T170" s="45"/>
      <c r="U170" s="96"/>
      <c r="V170" s="28"/>
      <c r="W170" s="34"/>
      <c r="X170" s="103"/>
      <c r="Y170" s="1"/>
      <c r="Z170" s="1"/>
      <c r="AA170" s="1"/>
    </row>
    <row r="171" ht="15.75" customHeight="1">
      <c r="A171" s="28"/>
      <c r="B171" s="28"/>
      <c r="C171" s="28"/>
      <c r="D171" s="28"/>
      <c r="E171" s="45"/>
      <c r="F171" s="28"/>
      <c r="G171" s="95"/>
      <c r="H171" s="95"/>
      <c r="I171" s="95"/>
      <c r="J171" s="95"/>
      <c r="K171" s="95"/>
      <c r="L171" s="50"/>
      <c r="M171" s="28"/>
      <c r="N171" s="45"/>
      <c r="O171" s="102"/>
      <c r="P171" s="102"/>
      <c r="Q171" s="102"/>
      <c r="R171" s="34"/>
      <c r="S171" s="45"/>
      <c r="T171" s="45"/>
      <c r="U171" s="96"/>
      <c r="V171" s="28"/>
      <c r="W171" s="34"/>
      <c r="X171" s="103"/>
      <c r="Y171" s="1"/>
      <c r="Z171" s="1"/>
      <c r="AA171" s="1"/>
    </row>
    <row r="172" ht="15.75" customHeight="1">
      <c r="A172" s="28"/>
      <c r="B172" s="28"/>
      <c r="C172" s="28"/>
      <c r="D172" s="28"/>
      <c r="E172" s="45"/>
      <c r="F172" s="28"/>
      <c r="G172" s="95"/>
      <c r="H172" s="95"/>
      <c r="I172" s="95"/>
      <c r="J172" s="95"/>
      <c r="K172" s="95"/>
      <c r="L172" s="50"/>
      <c r="M172" s="28"/>
      <c r="N172" s="45"/>
      <c r="O172" s="102"/>
      <c r="P172" s="102"/>
      <c r="Q172" s="102"/>
      <c r="R172" s="34"/>
      <c r="S172" s="45"/>
      <c r="T172" s="45"/>
      <c r="U172" s="96"/>
      <c r="V172" s="28"/>
      <c r="W172" s="34"/>
      <c r="X172" s="103"/>
      <c r="Y172" s="1"/>
      <c r="Z172" s="1"/>
      <c r="AA172" s="1"/>
    </row>
    <row r="173" ht="15.75" customHeight="1">
      <c r="A173" s="28"/>
      <c r="B173" s="28"/>
      <c r="C173" s="28"/>
      <c r="D173" s="28"/>
      <c r="E173" s="45"/>
      <c r="F173" s="28"/>
      <c r="G173" s="95"/>
      <c r="H173" s="95"/>
      <c r="I173" s="95"/>
      <c r="J173" s="95"/>
      <c r="K173" s="95"/>
      <c r="L173" s="50"/>
      <c r="M173" s="28"/>
      <c r="N173" s="45"/>
      <c r="O173" s="102"/>
      <c r="P173" s="102"/>
      <c r="Q173" s="102"/>
      <c r="R173" s="34"/>
      <c r="S173" s="45"/>
      <c r="T173" s="45"/>
      <c r="U173" s="96"/>
      <c r="V173" s="28"/>
      <c r="W173" s="34"/>
      <c r="X173" s="103"/>
      <c r="Y173" s="1"/>
      <c r="Z173" s="1"/>
      <c r="AA173" s="1"/>
    </row>
    <row r="174" ht="15.75" customHeight="1">
      <c r="A174" s="28"/>
      <c r="B174" s="28"/>
      <c r="C174" s="28"/>
      <c r="D174" s="28"/>
      <c r="E174" s="45"/>
      <c r="F174" s="28"/>
      <c r="G174" s="95"/>
      <c r="H174" s="95"/>
      <c r="I174" s="95"/>
      <c r="J174" s="95"/>
      <c r="K174" s="95"/>
      <c r="L174" s="50"/>
      <c r="M174" s="28"/>
      <c r="N174" s="45"/>
      <c r="O174" s="102"/>
      <c r="P174" s="102"/>
      <c r="Q174" s="102"/>
      <c r="R174" s="34"/>
      <c r="S174" s="45"/>
      <c r="T174" s="45"/>
      <c r="U174" s="96"/>
      <c r="V174" s="28"/>
      <c r="W174" s="34"/>
      <c r="X174" s="103"/>
      <c r="Y174" s="1"/>
      <c r="Z174" s="1"/>
      <c r="AA174" s="1"/>
    </row>
    <row r="175" ht="15.75" customHeight="1">
      <c r="A175" s="28"/>
      <c r="B175" s="28"/>
      <c r="C175" s="28"/>
      <c r="D175" s="28"/>
      <c r="E175" s="45"/>
      <c r="F175" s="28"/>
      <c r="G175" s="95"/>
      <c r="H175" s="95"/>
      <c r="I175" s="95"/>
      <c r="J175" s="95"/>
      <c r="K175" s="95"/>
      <c r="L175" s="50"/>
      <c r="M175" s="28"/>
      <c r="N175" s="45"/>
      <c r="O175" s="102"/>
      <c r="P175" s="102"/>
      <c r="Q175" s="102"/>
      <c r="R175" s="34"/>
      <c r="S175" s="45"/>
      <c r="T175" s="45"/>
      <c r="U175" s="96"/>
      <c r="V175" s="28"/>
      <c r="W175" s="34"/>
      <c r="X175" s="103"/>
      <c r="Y175" s="1"/>
      <c r="Z175" s="1"/>
      <c r="AA175" s="1"/>
    </row>
    <row r="176" ht="15.75" customHeight="1">
      <c r="A176" s="28"/>
      <c r="B176" s="28"/>
      <c r="C176" s="28"/>
      <c r="D176" s="28"/>
      <c r="E176" s="45"/>
      <c r="F176" s="28"/>
      <c r="G176" s="95"/>
      <c r="H176" s="95"/>
      <c r="I176" s="95"/>
      <c r="J176" s="95"/>
      <c r="K176" s="95"/>
      <c r="L176" s="50"/>
      <c r="M176" s="28"/>
      <c r="N176" s="45"/>
      <c r="O176" s="102"/>
      <c r="P176" s="102"/>
      <c r="Q176" s="102"/>
      <c r="R176" s="34"/>
      <c r="S176" s="45"/>
      <c r="T176" s="45"/>
      <c r="U176" s="104"/>
      <c r="V176" s="28"/>
      <c r="W176" s="34"/>
      <c r="X176" s="116"/>
      <c r="Y176" s="1"/>
      <c r="Z176" s="1"/>
      <c r="AA176" s="1"/>
    </row>
    <row r="177" ht="15.75" customHeight="1">
      <c r="A177" s="28"/>
      <c r="B177" s="28"/>
      <c r="C177" s="28"/>
      <c r="D177" s="28"/>
      <c r="E177" s="45"/>
      <c r="F177" s="28"/>
      <c r="G177" s="95"/>
      <c r="H177" s="95"/>
      <c r="I177" s="95"/>
      <c r="J177" s="95"/>
      <c r="K177" s="95"/>
      <c r="L177" s="50"/>
      <c r="M177" s="28"/>
      <c r="N177" s="45"/>
      <c r="O177" s="102"/>
      <c r="P177" s="102"/>
      <c r="Q177" s="102"/>
      <c r="R177" s="34"/>
      <c r="S177" s="45"/>
      <c r="T177" s="45"/>
      <c r="U177" s="104"/>
      <c r="V177" s="28"/>
      <c r="W177" s="34"/>
      <c r="X177" s="116"/>
      <c r="Y177" s="1"/>
      <c r="Z177" s="1"/>
      <c r="AA177" s="1"/>
    </row>
    <row r="178" ht="15.75" customHeight="1">
      <c r="A178" s="28"/>
      <c r="B178" s="28"/>
      <c r="C178" s="28"/>
      <c r="D178" s="28"/>
      <c r="E178" s="45"/>
      <c r="F178" s="28"/>
      <c r="G178" s="95"/>
      <c r="H178" s="95"/>
      <c r="I178" s="95"/>
      <c r="J178" s="95"/>
      <c r="K178" s="95"/>
      <c r="L178" s="50"/>
      <c r="M178" s="28"/>
      <c r="N178" s="45"/>
      <c r="O178" s="102"/>
      <c r="P178" s="102"/>
      <c r="Q178" s="102"/>
      <c r="R178" s="34"/>
      <c r="S178" s="45"/>
      <c r="T178" s="45"/>
      <c r="U178" s="104"/>
      <c r="V178" s="28"/>
      <c r="W178" s="34"/>
      <c r="X178" s="116"/>
      <c r="Y178" s="1"/>
      <c r="Z178" s="1"/>
      <c r="AA178" s="1"/>
    </row>
    <row r="179" ht="15.75" customHeight="1">
      <c r="A179" s="28"/>
      <c r="B179" s="28"/>
      <c r="C179" s="28"/>
      <c r="D179" s="28"/>
      <c r="E179" s="45"/>
      <c r="F179" s="28"/>
      <c r="G179" s="95"/>
      <c r="H179" s="95"/>
      <c r="I179" s="95"/>
      <c r="J179" s="95"/>
      <c r="K179" s="95"/>
      <c r="L179" s="50"/>
      <c r="M179" s="28"/>
      <c r="N179" s="45"/>
      <c r="O179" s="102"/>
      <c r="P179" s="102"/>
      <c r="Q179" s="102"/>
      <c r="R179" s="34"/>
      <c r="S179" s="45"/>
      <c r="T179" s="45"/>
      <c r="U179" s="104"/>
      <c r="V179" s="28"/>
      <c r="W179" s="34"/>
      <c r="X179" s="116"/>
      <c r="Y179" s="1"/>
      <c r="Z179" s="1"/>
      <c r="AA179" s="1"/>
    </row>
    <row r="180" ht="15.75" customHeight="1">
      <c r="A180" s="28"/>
      <c r="B180" s="28"/>
      <c r="C180" s="28"/>
      <c r="D180" s="28"/>
      <c r="E180" s="45"/>
      <c r="F180" s="28"/>
      <c r="G180" s="95"/>
      <c r="H180" s="95"/>
      <c r="I180" s="95"/>
      <c r="J180" s="95"/>
      <c r="K180" s="95"/>
      <c r="L180" s="50"/>
      <c r="M180" s="28"/>
      <c r="N180" s="45"/>
      <c r="O180" s="102"/>
      <c r="P180" s="102"/>
      <c r="Q180" s="102"/>
      <c r="R180" s="34"/>
      <c r="S180" s="45"/>
      <c r="T180" s="45"/>
      <c r="U180" s="104"/>
      <c r="V180" s="28"/>
      <c r="W180" s="34"/>
      <c r="X180" s="116"/>
      <c r="Y180" s="1"/>
      <c r="Z180" s="1"/>
      <c r="AA180" s="1"/>
    </row>
    <row r="181" ht="15.75" customHeight="1">
      <c r="A181" s="28"/>
      <c r="B181" s="28"/>
      <c r="C181" s="28"/>
      <c r="D181" s="28"/>
      <c r="E181" s="45"/>
      <c r="F181" s="28"/>
      <c r="G181" s="95"/>
      <c r="H181" s="95"/>
      <c r="I181" s="95"/>
      <c r="J181" s="95"/>
      <c r="K181" s="95"/>
      <c r="L181" s="50"/>
      <c r="M181" s="28"/>
      <c r="N181" s="45"/>
      <c r="O181" s="102"/>
      <c r="P181" s="102"/>
      <c r="Q181" s="102"/>
      <c r="R181" s="34"/>
      <c r="S181" s="45"/>
      <c r="T181" s="45"/>
      <c r="U181" s="104"/>
      <c r="V181" s="28"/>
      <c r="W181" s="34"/>
      <c r="X181" s="116"/>
      <c r="Y181" s="1"/>
      <c r="Z181" s="1"/>
      <c r="AA181" s="1"/>
    </row>
    <row r="182" ht="15.75" customHeight="1">
      <c r="A182" s="28"/>
      <c r="B182" s="28"/>
      <c r="C182" s="28"/>
      <c r="D182" s="28"/>
      <c r="E182" s="45"/>
      <c r="F182" s="28"/>
      <c r="G182" s="95"/>
      <c r="H182" s="95"/>
      <c r="I182" s="95"/>
      <c r="J182" s="95"/>
      <c r="K182" s="95"/>
      <c r="L182" s="50"/>
      <c r="M182" s="28"/>
      <c r="N182" s="45"/>
      <c r="O182" s="102"/>
      <c r="P182" s="102"/>
      <c r="Q182" s="102"/>
      <c r="R182" s="34"/>
      <c r="S182" s="45"/>
      <c r="T182" s="45"/>
      <c r="U182" s="104"/>
      <c r="V182" s="28"/>
      <c r="W182" s="34"/>
      <c r="X182" s="116"/>
      <c r="Y182" s="1"/>
      <c r="Z182" s="1"/>
      <c r="AA182" s="1"/>
    </row>
    <row r="183" ht="15.75" customHeight="1">
      <c r="A183" s="28"/>
      <c r="B183" s="28"/>
      <c r="C183" s="28"/>
      <c r="D183" s="28"/>
      <c r="E183" s="45"/>
      <c r="F183" s="28"/>
      <c r="G183" s="95"/>
      <c r="H183" s="95"/>
      <c r="I183" s="95"/>
      <c r="J183" s="95"/>
      <c r="K183" s="95"/>
      <c r="L183" s="50"/>
      <c r="M183" s="28"/>
      <c r="N183" s="45"/>
      <c r="O183" s="102"/>
      <c r="P183" s="102"/>
      <c r="Q183" s="102"/>
      <c r="R183" s="34"/>
      <c r="S183" s="45"/>
      <c r="T183" s="45"/>
      <c r="U183" s="104"/>
      <c r="V183" s="28"/>
      <c r="W183" s="34"/>
      <c r="X183" s="116"/>
      <c r="Y183" s="1"/>
      <c r="Z183" s="1"/>
      <c r="AA183" s="1"/>
    </row>
    <row r="184" ht="15.75" customHeight="1">
      <c r="A184" s="28"/>
      <c r="B184" s="28"/>
      <c r="C184" s="28"/>
      <c r="D184" s="28"/>
      <c r="E184" s="45"/>
      <c r="F184" s="28"/>
      <c r="G184" s="95"/>
      <c r="H184" s="95"/>
      <c r="I184" s="95"/>
      <c r="J184" s="95"/>
      <c r="K184" s="95"/>
      <c r="L184" s="50"/>
      <c r="M184" s="28"/>
      <c r="N184" s="45"/>
      <c r="O184" s="102"/>
      <c r="P184" s="102"/>
      <c r="Q184" s="102"/>
      <c r="R184" s="34"/>
      <c r="S184" s="45"/>
      <c r="T184" s="45"/>
      <c r="U184" s="104"/>
      <c r="V184" s="28"/>
      <c r="W184" s="34"/>
      <c r="X184" s="116"/>
      <c r="Y184" s="1"/>
      <c r="Z184" s="1"/>
      <c r="AA184" s="1"/>
    </row>
    <row r="185" ht="15.75" customHeight="1">
      <c r="A185" s="28"/>
      <c r="B185" s="28"/>
      <c r="C185" s="28"/>
      <c r="D185" s="28"/>
      <c r="E185" s="45"/>
      <c r="F185" s="28"/>
      <c r="G185" s="95"/>
      <c r="H185" s="95"/>
      <c r="I185" s="95"/>
      <c r="J185" s="95"/>
      <c r="K185" s="95"/>
      <c r="L185" s="50"/>
      <c r="M185" s="28"/>
      <c r="N185" s="45"/>
      <c r="O185" s="102"/>
      <c r="P185" s="102"/>
      <c r="Q185" s="102"/>
      <c r="R185" s="34"/>
      <c r="S185" s="45"/>
      <c r="T185" s="45"/>
      <c r="U185" s="104"/>
      <c r="V185" s="28"/>
      <c r="W185" s="34"/>
      <c r="X185" s="116"/>
      <c r="Y185" s="1"/>
      <c r="Z185" s="1"/>
      <c r="AA185" s="1"/>
    </row>
    <row r="186" ht="15.75" customHeight="1">
      <c r="A186" s="28"/>
      <c r="B186" s="28"/>
      <c r="C186" s="28"/>
      <c r="D186" s="28"/>
      <c r="E186" s="45"/>
      <c r="F186" s="28"/>
      <c r="G186" s="95"/>
      <c r="H186" s="95"/>
      <c r="I186" s="95"/>
      <c r="J186" s="95"/>
      <c r="K186" s="95"/>
      <c r="L186" s="50"/>
      <c r="M186" s="28"/>
      <c r="N186" s="45"/>
      <c r="O186" s="102"/>
      <c r="P186" s="102"/>
      <c r="Q186" s="102"/>
      <c r="R186" s="34"/>
      <c r="S186" s="45"/>
      <c r="T186" s="45"/>
      <c r="U186" s="104"/>
      <c r="V186" s="28"/>
      <c r="W186" s="34"/>
      <c r="X186" s="116"/>
      <c r="Y186" s="1"/>
      <c r="Z186" s="1"/>
      <c r="AA186" s="1"/>
    </row>
    <row r="187" ht="15.75" customHeight="1">
      <c r="A187" s="28"/>
      <c r="B187" s="28"/>
      <c r="C187" s="28"/>
      <c r="D187" s="28"/>
      <c r="E187" s="45"/>
      <c r="F187" s="28"/>
      <c r="G187" s="95"/>
      <c r="H187" s="95"/>
      <c r="I187" s="95"/>
      <c r="J187" s="95"/>
      <c r="K187" s="95"/>
      <c r="L187" s="50"/>
      <c r="M187" s="28"/>
      <c r="N187" s="45"/>
      <c r="O187" s="102"/>
      <c r="P187" s="102"/>
      <c r="Q187" s="102"/>
      <c r="R187" s="34"/>
      <c r="S187" s="45"/>
      <c r="T187" s="45"/>
      <c r="U187" s="104"/>
      <c r="V187" s="28"/>
      <c r="W187" s="34"/>
      <c r="X187" s="116"/>
      <c r="Y187" s="1"/>
      <c r="Z187" s="1"/>
      <c r="AA187" s="1"/>
    </row>
    <row r="188" ht="15.75" customHeight="1">
      <c r="A188" s="28"/>
      <c r="B188" s="28"/>
      <c r="C188" s="28"/>
      <c r="D188" s="28"/>
      <c r="E188" s="45"/>
      <c r="F188" s="28"/>
      <c r="G188" s="95"/>
      <c r="H188" s="95"/>
      <c r="I188" s="95"/>
      <c r="J188" s="95"/>
      <c r="K188" s="95"/>
      <c r="L188" s="50"/>
      <c r="M188" s="28"/>
      <c r="N188" s="45"/>
      <c r="O188" s="102"/>
      <c r="P188" s="102"/>
      <c r="Q188" s="102"/>
      <c r="R188" s="34"/>
      <c r="S188" s="45"/>
      <c r="T188" s="45"/>
      <c r="U188" s="104"/>
      <c r="V188" s="28"/>
      <c r="W188" s="34"/>
      <c r="X188" s="116"/>
      <c r="Y188" s="1"/>
      <c r="Z188" s="1"/>
      <c r="AA188" s="1"/>
    </row>
    <row r="189" ht="15.75" customHeight="1">
      <c r="A189" s="28"/>
      <c r="B189" s="28"/>
      <c r="C189" s="28"/>
      <c r="D189" s="28"/>
      <c r="E189" s="45"/>
      <c r="F189" s="28"/>
      <c r="G189" s="95"/>
      <c r="H189" s="95"/>
      <c r="I189" s="95"/>
      <c r="J189" s="95"/>
      <c r="K189" s="95"/>
      <c r="L189" s="50"/>
      <c r="M189" s="28"/>
      <c r="N189" s="45"/>
      <c r="O189" s="102"/>
      <c r="P189" s="102"/>
      <c r="Q189" s="102"/>
      <c r="R189" s="34"/>
      <c r="S189" s="45"/>
      <c r="T189" s="45"/>
      <c r="U189" s="104"/>
      <c r="V189" s="28"/>
      <c r="W189" s="34"/>
      <c r="X189" s="116"/>
      <c r="Y189" s="1"/>
      <c r="Z189" s="1"/>
      <c r="AA189" s="1"/>
    </row>
    <row r="190" ht="15.75" customHeight="1">
      <c r="A190" s="28"/>
      <c r="B190" s="28"/>
      <c r="C190" s="28"/>
      <c r="D190" s="28"/>
      <c r="E190" s="45"/>
      <c r="F190" s="28"/>
      <c r="G190" s="95"/>
      <c r="H190" s="95"/>
      <c r="I190" s="95"/>
      <c r="J190" s="95"/>
      <c r="K190" s="95"/>
      <c r="L190" s="50"/>
      <c r="M190" s="28"/>
      <c r="N190" s="45"/>
      <c r="O190" s="102"/>
      <c r="P190" s="102"/>
      <c r="Q190" s="102"/>
      <c r="R190" s="34"/>
      <c r="S190" s="45"/>
      <c r="T190" s="45"/>
      <c r="U190" s="104"/>
      <c r="V190" s="28"/>
      <c r="W190" s="34"/>
      <c r="X190" s="116"/>
      <c r="Y190" s="1"/>
      <c r="Z190" s="1"/>
      <c r="AA190" s="1"/>
    </row>
    <row r="191" ht="15.75" customHeight="1">
      <c r="A191" s="28"/>
      <c r="B191" s="28"/>
      <c r="C191" s="28"/>
      <c r="D191" s="28"/>
      <c r="E191" s="45"/>
      <c r="F191" s="28"/>
      <c r="G191" s="95"/>
      <c r="H191" s="95"/>
      <c r="I191" s="95"/>
      <c r="J191" s="95"/>
      <c r="K191" s="95"/>
      <c r="L191" s="50"/>
      <c r="M191" s="28"/>
      <c r="N191" s="45"/>
      <c r="O191" s="102"/>
      <c r="P191" s="102"/>
      <c r="Q191" s="102"/>
      <c r="R191" s="34"/>
      <c r="S191" s="45"/>
      <c r="T191" s="45"/>
      <c r="U191" s="104"/>
      <c r="V191" s="28"/>
      <c r="W191" s="34"/>
      <c r="X191" s="116"/>
      <c r="Y191" s="1"/>
      <c r="Z191" s="1"/>
      <c r="AA191" s="1"/>
    </row>
    <row r="192" ht="15.75" customHeight="1">
      <c r="A192" s="28"/>
      <c r="B192" s="28"/>
      <c r="C192" s="28"/>
      <c r="D192" s="28"/>
      <c r="E192" s="45"/>
      <c r="F192" s="28"/>
      <c r="G192" s="95"/>
      <c r="H192" s="95"/>
      <c r="I192" s="95"/>
      <c r="J192" s="95"/>
      <c r="K192" s="95"/>
      <c r="L192" s="50"/>
      <c r="M192" s="28"/>
      <c r="N192" s="45"/>
      <c r="O192" s="102"/>
      <c r="P192" s="102"/>
      <c r="Q192" s="102"/>
      <c r="R192" s="34"/>
      <c r="S192" s="45"/>
      <c r="T192" s="45"/>
      <c r="U192" s="104"/>
      <c r="V192" s="28"/>
      <c r="W192" s="34"/>
      <c r="X192" s="116"/>
      <c r="Y192" s="1"/>
      <c r="Z192" s="1"/>
      <c r="AA192" s="1"/>
    </row>
    <row r="193" ht="15.75" customHeight="1">
      <c r="A193" s="28"/>
      <c r="B193" s="28"/>
      <c r="C193" s="28"/>
      <c r="D193" s="28"/>
      <c r="E193" s="45"/>
      <c r="F193" s="28"/>
      <c r="G193" s="95"/>
      <c r="H193" s="95"/>
      <c r="I193" s="95"/>
      <c r="J193" s="95"/>
      <c r="K193" s="95"/>
      <c r="L193" s="50"/>
      <c r="M193" s="28"/>
      <c r="N193" s="45"/>
      <c r="O193" s="102"/>
      <c r="P193" s="102"/>
      <c r="Q193" s="102"/>
      <c r="R193" s="34"/>
      <c r="S193" s="45"/>
      <c r="T193" s="45"/>
      <c r="U193" s="104"/>
      <c r="V193" s="28"/>
      <c r="W193" s="34"/>
      <c r="X193" s="116"/>
      <c r="Y193" s="1"/>
      <c r="Z193" s="1"/>
      <c r="AA193" s="1"/>
    </row>
    <row r="194" ht="15.75" customHeight="1">
      <c r="A194" s="28"/>
      <c r="B194" s="28"/>
      <c r="C194" s="28"/>
      <c r="D194" s="28"/>
      <c r="E194" s="45"/>
      <c r="F194" s="28"/>
      <c r="G194" s="95"/>
      <c r="H194" s="95"/>
      <c r="I194" s="95"/>
      <c r="J194" s="95"/>
      <c r="K194" s="95"/>
      <c r="L194" s="50"/>
      <c r="M194" s="28"/>
      <c r="N194" s="45"/>
      <c r="O194" s="102"/>
      <c r="P194" s="102"/>
      <c r="Q194" s="102"/>
      <c r="R194" s="34"/>
      <c r="S194" s="45"/>
      <c r="T194" s="45"/>
      <c r="U194" s="104"/>
      <c r="V194" s="28"/>
      <c r="W194" s="34"/>
      <c r="X194" s="116"/>
      <c r="Y194" s="1"/>
      <c r="Z194" s="1"/>
      <c r="AA194" s="1"/>
    </row>
    <row r="195" ht="15.75" customHeight="1">
      <c r="A195" s="28"/>
      <c r="B195" s="28"/>
      <c r="C195" s="28"/>
      <c r="D195" s="28"/>
      <c r="E195" s="45"/>
      <c r="F195" s="28"/>
      <c r="G195" s="95"/>
      <c r="H195" s="95"/>
      <c r="I195" s="95"/>
      <c r="J195" s="95"/>
      <c r="K195" s="95"/>
      <c r="L195" s="50"/>
      <c r="M195" s="28"/>
      <c r="N195" s="45"/>
      <c r="O195" s="102"/>
      <c r="P195" s="102"/>
      <c r="Q195" s="102"/>
      <c r="R195" s="34"/>
      <c r="S195" s="45"/>
      <c r="T195" s="45"/>
      <c r="U195" s="104"/>
      <c r="V195" s="28"/>
      <c r="W195" s="34"/>
      <c r="X195" s="116"/>
      <c r="Y195" s="1"/>
      <c r="Z195" s="1"/>
      <c r="AA195" s="1"/>
    </row>
    <row r="196" ht="15.75" customHeight="1">
      <c r="A196" s="28"/>
      <c r="B196" s="28"/>
      <c r="C196" s="28"/>
      <c r="D196" s="28"/>
      <c r="E196" s="45"/>
      <c r="F196" s="28"/>
      <c r="G196" s="95"/>
      <c r="H196" s="95"/>
      <c r="I196" s="95"/>
      <c r="J196" s="95"/>
      <c r="K196" s="95"/>
      <c r="L196" s="50"/>
      <c r="M196" s="28"/>
      <c r="N196" s="45"/>
      <c r="O196" s="102"/>
      <c r="P196" s="102"/>
      <c r="Q196" s="102"/>
      <c r="R196" s="34"/>
      <c r="S196" s="45"/>
      <c r="T196" s="45"/>
      <c r="U196" s="104"/>
      <c r="V196" s="28"/>
      <c r="W196" s="34"/>
      <c r="X196" s="116"/>
      <c r="Y196" s="1"/>
      <c r="Z196" s="1"/>
      <c r="AA196" s="1"/>
    </row>
    <row r="197" ht="15.75" customHeight="1">
      <c r="A197" s="28"/>
      <c r="B197" s="28"/>
      <c r="C197" s="28"/>
      <c r="D197" s="28"/>
      <c r="E197" s="45"/>
      <c r="F197" s="28"/>
      <c r="G197" s="95"/>
      <c r="H197" s="95"/>
      <c r="I197" s="95"/>
      <c r="J197" s="95"/>
      <c r="K197" s="95"/>
      <c r="L197" s="50"/>
      <c r="M197" s="28"/>
      <c r="N197" s="45"/>
      <c r="O197" s="102"/>
      <c r="P197" s="102"/>
      <c r="Q197" s="102"/>
      <c r="R197" s="34"/>
      <c r="S197" s="45"/>
      <c r="T197" s="45"/>
      <c r="U197" s="104"/>
      <c r="V197" s="28"/>
      <c r="W197" s="34"/>
      <c r="X197" s="116"/>
      <c r="Y197" s="1"/>
      <c r="Z197" s="1"/>
      <c r="AA197" s="1"/>
    </row>
    <row r="198" ht="15.75" customHeight="1">
      <c r="A198" s="28"/>
      <c r="B198" s="28"/>
      <c r="C198" s="28"/>
      <c r="D198" s="28"/>
      <c r="E198" s="45"/>
      <c r="F198" s="28"/>
      <c r="G198" s="95"/>
      <c r="H198" s="95"/>
      <c r="I198" s="95"/>
      <c r="J198" s="95"/>
      <c r="K198" s="95"/>
      <c r="L198" s="50"/>
      <c r="M198" s="28"/>
      <c r="N198" s="45"/>
      <c r="O198" s="102"/>
      <c r="P198" s="102"/>
      <c r="Q198" s="102"/>
      <c r="R198" s="34"/>
      <c r="S198" s="45"/>
      <c r="T198" s="45"/>
      <c r="U198" s="104"/>
      <c r="V198" s="28"/>
      <c r="W198" s="34"/>
      <c r="X198" s="116"/>
      <c r="Y198" s="1"/>
      <c r="Z198" s="1"/>
      <c r="AA198" s="1"/>
    </row>
    <row r="199" ht="15.75" customHeight="1">
      <c r="A199" s="28"/>
      <c r="B199" s="28"/>
      <c r="C199" s="28"/>
      <c r="D199" s="28"/>
      <c r="E199" s="45"/>
      <c r="F199" s="28"/>
      <c r="G199" s="95"/>
      <c r="H199" s="95"/>
      <c r="I199" s="95"/>
      <c r="J199" s="95"/>
      <c r="K199" s="95"/>
      <c r="L199" s="50"/>
      <c r="M199" s="28"/>
      <c r="N199" s="45"/>
      <c r="O199" s="102"/>
      <c r="P199" s="102"/>
      <c r="Q199" s="102"/>
      <c r="R199" s="34"/>
      <c r="S199" s="45"/>
      <c r="T199" s="45"/>
      <c r="U199" s="104"/>
      <c r="V199" s="28"/>
      <c r="W199" s="34"/>
      <c r="X199" s="116"/>
      <c r="Y199" s="1"/>
      <c r="Z199" s="1"/>
      <c r="AA199" s="1"/>
    </row>
    <row r="200" ht="15.75" customHeight="1">
      <c r="A200" s="28"/>
      <c r="B200" s="28"/>
      <c r="C200" s="28"/>
      <c r="D200" s="28"/>
      <c r="E200" s="45"/>
      <c r="F200" s="28"/>
      <c r="G200" s="95"/>
      <c r="H200" s="95"/>
      <c r="I200" s="95"/>
      <c r="J200" s="95"/>
      <c r="K200" s="95"/>
      <c r="L200" s="50"/>
      <c r="M200" s="28"/>
      <c r="N200" s="45"/>
      <c r="O200" s="102"/>
      <c r="P200" s="102"/>
      <c r="Q200" s="102"/>
      <c r="R200" s="34"/>
      <c r="S200" s="45"/>
      <c r="T200" s="45"/>
      <c r="U200" s="104"/>
      <c r="V200" s="28"/>
      <c r="W200" s="34"/>
      <c r="X200" s="116"/>
      <c r="Y200" s="1"/>
      <c r="Z200" s="1"/>
      <c r="AA200" s="1"/>
    </row>
    <row r="201" ht="15.75" customHeight="1">
      <c r="A201" s="28"/>
      <c r="B201" s="28"/>
      <c r="C201" s="28"/>
      <c r="D201" s="28"/>
      <c r="E201" s="45"/>
      <c r="F201" s="28"/>
      <c r="G201" s="95"/>
      <c r="H201" s="95"/>
      <c r="I201" s="95"/>
      <c r="J201" s="95"/>
      <c r="K201" s="95"/>
      <c r="L201" s="50"/>
      <c r="M201" s="28"/>
      <c r="N201" s="45"/>
      <c r="O201" s="102"/>
      <c r="P201" s="102"/>
      <c r="Q201" s="102"/>
      <c r="R201" s="34"/>
      <c r="S201" s="45"/>
      <c r="T201" s="45"/>
      <c r="U201" s="104"/>
      <c r="V201" s="28"/>
      <c r="W201" s="34"/>
      <c r="X201" s="116"/>
      <c r="Y201" s="1"/>
      <c r="Z201" s="1"/>
      <c r="AA201" s="1"/>
    </row>
    <row r="202" ht="15.75" customHeight="1">
      <c r="A202" s="28"/>
      <c r="B202" s="28"/>
      <c r="C202" s="28"/>
      <c r="D202" s="28"/>
      <c r="E202" s="45"/>
      <c r="F202" s="28"/>
      <c r="G202" s="95"/>
      <c r="H202" s="95"/>
      <c r="I202" s="95"/>
      <c r="J202" s="95"/>
      <c r="K202" s="95"/>
      <c r="L202" s="50"/>
      <c r="M202" s="28"/>
      <c r="N202" s="45"/>
      <c r="O202" s="102"/>
      <c r="P202" s="102"/>
      <c r="Q202" s="102"/>
      <c r="R202" s="34"/>
      <c r="S202" s="45"/>
      <c r="T202" s="45"/>
      <c r="U202" s="104"/>
      <c r="V202" s="28"/>
      <c r="W202" s="34"/>
      <c r="X202" s="116"/>
      <c r="Y202" s="1"/>
      <c r="Z202" s="1"/>
      <c r="AA202" s="1"/>
    </row>
    <row r="203" ht="15.75" customHeight="1">
      <c r="A203" s="28"/>
      <c r="B203" s="28"/>
      <c r="C203" s="28"/>
      <c r="D203" s="28"/>
      <c r="E203" s="45"/>
      <c r="F203" s="28"/>
      <c r="G203" s="95"/>
      <c r="H203" s="95"/>
      <c r="I203" s="95"/>
      <c r="J203" s="95"/>
      <c r="K203" s="95"/>
      <c r="L203" s="50"/>
      <c r="M203" s="28"/>
      <c r="N203" s="45"/>
      <c r="O203" s="102"/>
      <c r="P203" s="102"/>
      <c r="Q203" s="102"/>
      <c r="R203" s="34"/>
      <c r="S203" s="45"/>
      <c r="T203" s="45"/>
      <c r="U203" s="104"/>
      <c r="V203" s="28"/>
      <c r="W203" s="34"/>
      <c r="X203" s="116"/>
      <c r="Y203" s="1"/>
      <c r="Z203" s="1"/>
      <c r="AA203" s="1"/>
    </row>
    <row r="204" ht="15.75" customHeight="1">
      <c r="A204" s="28"/>
      <c r="B204" s="28"/>
      <c r="C204" s="28"/>
      <c r="D204" s="28"/>
      <c r="E204" s="45"/>
      <c r="F204" s="28"/>
      <c r="G204" s="95"/>
      <c r="H204" s="95"/>
      <c r="I204" s="95"/>
      <c r="J204" s="95"/>
      <c r="K204" s="95"/>
      <c r="L204" s="50"/>
      <c r="M204" s="28"/>
      <c r="N204" s="45"/>
      <c r="O204" s="102"/>
      <c r="P204" s="102"/>
      <c r="Q204" s="102"/>
      <c r="R204" s="34"/>
      <c r="S204" s="45"/>
      <c r="T204" s="45"/>
      <c r="U204" s="104"/>
      <c r="V204" s="28"/>
      <c r="W204" s="34"/>
      <c r="X204" s="116"/>
      <c r="Y204" s="1"/>
      <c r="Z204" s="1"/>
      <c r="AA204" s="1"/>
    </row>
    <row r="205" ht="15.75" customHeight="1">
      <c r="A205" s="28"/>
      <c r="B205" s="28"/>
      <c r="C205" s="28"/>
      <c r="D205" s="28"/>
      <c r="E205" s="45"/>
      <c r="F205" s="28"/>
      <c r="G205" s="95"/>
      <c r="H205" s="95"/>
      <c r="I205" s="95"/>
      <c r="J205" s="95"/>
      <c r="K205" s="95"/>
      <c r="L205" s="50"/>
      <c r="M205" s="28"/>
      <c r="N205" s="45"/>
      <c r="O205" s="102"/>
      <c r="P205" s="102"/>
      <c r="Q205" s="102"/>
      <c r="R205" s="34"/>
      <c r="S205" s="45"/>
      <c r="T205" s="45"/>
      <c r="U205" s="104"/>
      <c r="V205" s="28"/>
      <c r="W205" s="34"/>
      <c r="X205" s="116"/>
      <c r="Y205" s="1"/>
      <c r="Z205" s="1"/>
      <c r="AA205" s="1"/>
    </row>
    <row r="206" ht="15.75" customHeight="1">
      <c r="A206" s="28"/>
      <c r="B206" s="28"/>
      <c r="C206" s="28"/>
      <c r="D206" s="28"/>
      <c r="E206" s="45"/>
      <c r="F206" s="28"/>
      <c r="G206" s="95"/>
      <c r="H206" s="95"/>
      <c r="I206" s="95"/>
      <c r="J206" s="95"/>
      <c r="K206" s="95"/>
      <c r="L206" s="50"/>
      <c r="M206" s="28"/>
      <c r="N206" s="45"/>
      <c r="O206" s="102"/>
      <c r="P206" s="102"/>
      <c r="Q206" s="102"/>
      <c r="R206" s="34"/>
      <c r="S206" s="45"/>
      <c r="T206" s="45"/>
      <c r="U206" s="104"/>
      <c r="V206" s="28"/>
      <c r="W206" s="34"/>
      <c r="X206" s="116"/>
      <c r="Y206" s="1"/>
      <c r="Z206" s="1"/>
      <c r="AA206" s="1"/>
    </row>
    <row r="207" ht="15.75" customHeight="1">
      <c r="A207" s="28"/>
      <c r="B207" s="28"/>
      <c r="C207" s="28"/>
      <c r="D207" s="28"/>
      <c r="E207" s="45"/>
      <c r="F207" s="28"/>
      <c r="G207" s="95"/>
      <c r="H207" s="95"/>
      <c r="I207" s="95"/>
      <c r="J207" s="95"/>
      <c r="K207" s="95"/>
      <c r="L207" s="50"/>
      <c r="M207" s="28"/>
      <c r="N207" s="45"/>
      <c r="O207" s="102"/>
      <c r="P207" s="102"/>
      <c r="Q207" s="102"/>
      <c r="R207" s="34"/>
      <c r="S207" s="45"/>
      <c r="T207" s="45"/>
      <c r="U207" s="104"/>
      <c r="V207" s="28"/>
      <c r="W207" s="34"/>
      <c r="X207" s="116"/>
      <c r="Y207" s="1"/>
      <c r="Z207" s="1"/>
      <c r="AA207" s="1"/>
    </row>
    <row r="208" ht="15.75" customHeight="1">
      <c r="A208" s="28"/>
      <c r="B208" s="28"/>
      <c r="C208" s="28"/>
      <c r="D208" s="28"/>
      <c r="E208" s="45"/>
      <c r="F208" s="28"/>
      <c r="G208" s="95"/>
      <c r="H208" s="95"/>
      <c r="I208" s="95"/>
      <c r="J208" s="95"/>
      <c r="K208" s="95"/>
      <c r="L208" s="50"/>
      <c r="M208" s="28"/>
      <c r="N208" s="45"/>
      <c r="O208" s="102"/>
      <c r="P208" s="102"/>
      <c r="Q208" s="102"/>
      <c r="R208" s="34"/>
      <c r="S208" s="45"/>
      <c r="T208" s="45"/>
      <c r="U208" s="104"/>
      <c r="V208" s="28"/>
      <c r="W208" s="34"/>
      <c r="X208" s="116"/>
      <c r="Y208" s="1"/>
      <c r="Z208" s="1"/>
      <c r="AA208" s="1"/>
    </row>
    <row r="209" ht="15.75" customHeight="1">
      <c r="A209" s="28"/>
      <c r="B209" s="28"/>
      <c r="C209" s="28"/>
      <c r="D209" s="28"/>
      <c r="E209" s="45"/>
      <c r="F209" s="28"/>
      <c r="G209" s="95"/>
      <c r="H209" s="95"/>
      <c r="I209" s="95"/>
      <c r="J209" s="95"/>
      <c r="K209" s="95"/>
      <c r="L209" s="50"/>
      <c r="M209" s="28"/>
      <c r="N209" s="45"/>
      <c r="O209" s="102"/>
      <c r="P209" s="102"/>
      <c r="Q209" s="102"/>
      <c r="R209" s="34"/>
      <c r="S209" s="45"/>
      <c r="T209" s="45"/>
      <c r="U209" s="104"/>
      <c r="V209" s="28"/>
      <c r="W209" s="34"/>
      <c r="X209" s="116"/>
      <c r="Y209" s="1"/>
      <c r="Z209" s="1"/>
      <c r="AA209" s="1"/>
    </row>
    <row r="210" ht="15.75" customHeight="1">
      <c r="A210" s="28"/>
      <c r="B210" s="28"/>
      <c r="C210" s="28"/>
      <c r="D210" s="28"/>
      <c r="E210" s="45"/>
      <c r="F210" s="28"/>
      <c r="G210" s="95"/>
      <c r="H210" s="95"/>
      <c r="I210" s="95"/>
      <c r="J210" s="95"/>
      <c r="K210" s="95"/>
      <c r="L210" s="50"/>
      <c r="M210" s="28"/>
      <c r="N210" s="45"/>
      <c r="O210" s="102"/>
      <c r="P210" s="102"/>
      <c r="Q210" s="102"/>
      <c r="R210" s="34"/>
      <c r="S210" s="45"/>
      <c r="T210" s="45"/>
      <c r="U210" s="104"/>
      <c r="V210" s="28"/>
      <c r="W210" s="34"/>
      <c r="X210" s="116"/>
      <c r="Y210" s="1"/>
      <c r="Z210" s="1"/>
      <c r="AA210" s="1"/>
    </row>
    <row r="211" ht="15.75" customHeight="1">
      <c r="A211" s="28"/>
      <c r="B211" s="28"/>
      <c r="C211" s="28"/>
      <c r="D211" s="28"/>
      <c r="E211" s="45"/>
      <c r="F211" s="28"/>
      <c r="G211" s="95"/>
      <c r="H211" s="95"/>
      <c r="I211" s="95"/>
      <c r="J211" s="95"/>
      <c r="K211" s="95"/>
      <c r="L211" s="50"/>
      <c r="M211" s="28"/>
      <c r="N211" s="45"/>
      <c r="O211" s="102"/>
      <c r="P211" s="102"/>
      <c r="Q211" s="102"/>
      <c r="R211" s="34"/>
      <c r="S211" s="45"/>
      <c r="T211" s="45"/>
      <c r="U211" s="104"/>
      <c r="V211" s="28"/>
      <c r="W211" s="34"/>
      <c r="X211" s="116"/>
      <c r="Y211" s="1"/>
      <c r="Z211" s="1"/>
      <c r="AA211" s="1"/>
    </row>
    <row r="212" ht="15.75" customHeight="1">
      <c r="A212" s="28"/>
      <c r="B212" s="28"/>
      <c r="C212" s="28"/>
      <c r="D212" s="28"/>
      <c r="E212" s="45"/>
      <c r="F212" s="28"/>
      <c r="G212" s="95"/>
      <c r="H212" s="95"/>
      <c r="I212" s="95"/>
      <c r="J212" s="95"/>
      <c r="K212" s="95"/>
      <c r="L212" s="50"/>
      <c r="M212" s="28"/>
      <c r="N212" s="45"/>
      <c r="O212" s="102"/>
      <c r="P212" s="102"/>
      <c r="Q212" s="102"/>
      <c r="R212" s="34"/>
      <c r="S212" s="45"/>
      <c r="T212" s="45"/>
      <c r="U212" s="104"/>
      <c r="V212" s="28"/>
      <c r="W212" s="34"/>
      <c r="X212" s="116"/>
      <c r="Y212" s="1"/>
      <c r="Z212" s="1"/>
      <c r="AA212" s="1"/>
    </row>
    <row r="213" ht="15.75" customHeight="1">
      <c r="A213" s="28"/>
      <c r="B213" s="28"/>
      <c r="C213" s="28"/>
      <c r="D213" s="28"/>
      <c r="E213" s="45"/>
      <c r="F213" s="28"/>
      <c r="G213" s="95"/>
      <c r="H213" s="95"/>
      <c r="I213" s="95"/>
      <c r="J213" s="95"/>
      <c r="K213" s="95"/>
      <c r="L213" s="50"/>
      <c r="M213" s="28"/>
      <c r="N213" s="45"/>
      <c r="O213" s="102"/>
      <c r="P213" s="102"/>
      <c r="Q213" s="102"/>
      <c r="R213" s="34"/>
      <c r="S213" s="45"/>
      <c r="T213" s="45"/>
      <c r="U213" s="104"/>
      <c r="V213" s="28"/>
      <c r="W213" s="34"/>
      <c r="X213" s="116"/>
      <c r="Y213" s="1"/>
      <c r="Z213" s="1"/>
      <c r="AA213" s="1"/>
    </row>
    <row r="214" ht="15.75" customHeight="1">
      <c r="A214" s="28"/>
      <c r="B214" s="28"/>
      <c r="C214" s="28"/>
      <c r="D214" s="28"/>
      <c r="E214" s="45"/>
      <c r="F214" s="28"/>
      <c r="G214" s="95"/>
      <c r="H214" s="95"/>
      <c r="I214" s="95"/>
      <c r="J214" s="95"/>
      <c r="K214" s="95"/>
      <c r="L214" s="50"/>
      <c r="M214" s="28"/>
      <c r="N214" s="45"/>
      <c r="O214" s="102"/>
      <c r="P214" s="102"/>
      <c r="Q214" s="102"/>
      <c r="R214" s="34"/>
      <c r="S214" s="45"/>
      <c r="T214" s="45"/>
      <c r="U214" s="104"/>
      <c r="V214" s="28"/>
      <c r="W214" s="34"/>
      <c r="X214" s="116"/>
      <c r="Y214" s="1"/>
      <c r="Z214" s="1"/>
      <c r="AA214" s="1"/>
    </row>
    <row r="215" ht="15.75" customHeight="1">
      <c r="A215" s="28"/>
      <c r="B215" s="28"/>
      <c r="C215" s="28"/>
      <c r="D215" s="28"/>
      <c r="E215" s="45"/>
      <c r="F215" s="28"/>
      <c r="G215" s="95"/>
      <c r="H215" s="95"/>
      <c r="I215" s="95"/>
      <c r="J215" s="95"/>
      <c r="K215" s="95"/>
      <c r="L215" s="50"/>
      <c r="M215" s="28"/>
      <c r="N215" s="45"/>
      <c r="O215" s="102"/>
      <c r="P215" s="102"/>
      <c r="Q215" s="102"/>
      <c r="R215" s="34"/>
      <c r="S215" s="45"/>
      <c r="T215" s="45"/>
      <c r="U215" s="104"/>
      <c r="V215" s="28"/>
      <c r="W215" s="34"/>
      <c r="X215" s="116"/>
      <c r="Y215" s="1"/>
      <c r="Z215" s="1"/>
      <c r="AA215" s="1"/>
    </row>
    <row r="216" ht="15.75" customHeight="1">
      <c r="A216" s="28"/>
      <c r="B216" s="28"/>
      <c r="C216" s="28"/>
      <c r="D216" s="28"/>
      <c r="E216" s="45"/>
      <c r="F216" s="28"/>
      <c r="G216" s="95"/>
      <c r="H216" s="95"/>
      <c r="I216" s="95"/>
      <c r="J216" s="95"/>
      <c r="K216" s="95"/>
      <c r="L216" s="50"/>
      <c r="M216" s="28"/>
      <c r="N216" s="45"/>
      <c r="O216" s="102"/>
      <c r="P216" s="102"/>
      <c r="Q216" s="102"/>
      <c r="R216" s="34"/>
      <c r="S216" s="45"/>
      <c r="T216" s="45"/>
      <c r="U216" s="104"/>
      <c r="V216" s="28"/>
      <c r="W216" s="34"/>
      <c r="X216" s="116"/>
      <c r="Y216" s="1"/>
      <c r="Z216" s="1"/>
      <c r="AA216" s="1"/>
    </row>
    <row r="217" ht="15.75" customHeight="1">
      <c r="A217" s="28"/>
      <c r="B217" s="28"/>
      <c r="C217" s="28"/>
      <c r="D217" s="28"/>
      <c r="E217" s="45"/>
      <c r="F217" s="28"/>
      <c r="G217" s="95"/>
      <c r="H217" s="95"/>
      <c r="I217" s="95"/>
      <c r="J217" s="95"/>
      <c r="K217" s="95"/>
      <c r="L217" s="50"/>
      <c r="M217" s="28"/>
      <c r="N217" s="45"/>
      <c r="O217" s="102"/>
      <c r="P217" s="102"/>
      <c r="Q217" s="102"/>
      <c r="R217" s="34"/>
      <c r="S217" s="45"/>
      <c r="T217" s="45"/>
      <c r="U217" s="104"/>
      <c r="V217" s="28"/>
      <c r="W217" s="34"/>
      <c r="X217" s="116"/>
      <c r="Y217" s="1"/>
      <c r="Z217" s="1"/>
      <c r="AA217" s="1"/>
    </row>
    <row r="218" ht="15.75" customHeight="1">
      <c r="A218" s="28"/>
      <c r="B218" s="28"/>
      <c r="C218" s="28"/>
      <c r="D218" s="28"/>
      <c r="E218" s="45"/>
      <c r="F218" s="28"/>
      <c r="G218" s="95"/>
      <c r="H218" s="95"/>
      <c r="I218" s="95"/>
      <c r="J218" s="95"/>
      <c r="K218" s="95"/>
      <c r="L218" s="50"/>
      <c r="M218" s="28"/>
      <c r="N218" s="45"/>
      <c r="O218" s="102"/>
      <c r="P218" s="102"/>
      <c r="Q218" s="102"/>
      <c r="R218" s="34"/>
      <c r="S218" s="45"/>
      <c r="T218" s="45"/>
      <c r="U218" s="104"/>
      <c r="V218" s="28"/>
      <c r="W218" s="34"/>
      <c r="X218" s="116"/>
      <c r="Y218" s="1"/>
      <c r="Z218" s="1"/>
      <c r="AA218" s="1"/>
    </row>
    <row r="219" ht="15.75" customHeight="1">
      <c r="A219" s="28"/>
      <c r="B219" s="28"/>
      <c r="C219" s="28"/>
      <c r="D219" s="28"/>
      <c r="E219" s="45"/>
      <c r="F219" s="28"/>
      <c r="G219" s="95"/>
      <c r="H219" s="95"/>
      <c r="I219" s="95"/>
      <c r="J219" s="95"/>
      <c r="K219" s="95"/>
      <c r="L219" s="50"/>
      <c r="M219" s="28"/>
      <c r="N219" s="45"/>
      <c r="O219" s="102"/>
      <c r="P219" s="102"/>
      <c r="Q219" s="102"/>
      <c r="R219" s="34"/>
      <c r="S219" s="45"/>
      <c r="T219" s="45"/>
      <c r="U219" s="104"/>
      <c r="V219" s="28"/>
      <c r="W219" s="34"/>
      <c r="X219" s="116"/>
      <c r="Y219" s="1"/>
      <c r="Z219" s="1"/>
      <c r="AA219" s="1"/>
    </row>
    <row r="220" ht="15.75" customHeight="1">
      <c r="A220" s="28"/>
      <c r="B220" s="28"/>
      <c r="C220" s="28"/>
      <c r="D220" s="28"/>
      <c r="E220" s="45"/>
      <c r="F220" s="28"/>
      <c r="G220" s="95"/>
      <c r="H220" s="95"/>
      <c r="I220" s="95"/>
      <c r="J220" s="95"/>
      <c r="K220" s="95"/>
      <c r="L220" s="50"/>
      <c r="M220" s="28"/>
      <c r="N220" s="45"/>
      <c r="O220" s="102"/>
      <c r="P220" s="102"/>
      <c r="Q220" s="102"/>
      <c r="R220" s="34"/>
      <c r="S220" s="45"/>
      <c r="T220" s="45"/>
      <c r="U220" s="104"/>
      <c r="V220" s="28"/>
      <c r="W220" s="34"/>
      <c r="X220" s="116"/>
      <c r="Y220" s="1"/>
      <c r="Z220" s="1"/>
      <c r="AA220" s="1"/>
    </row>
    <row r="221" ht="15.75" customHeight="1">
      <c r="A221" s="28"/>
      <c r="B221" s="28"/>
      <c r="C221" s="28"/>
      <c r="D221" s="28"/>
      <c r="E221" s="45"/>
      <c r="F221" s="28"/>
      <c r="G221" s="95"/>
      <c r="H221" s="95"/>
      <c r="I221" s="95"/>
      <c r="J221" s="95"/>
      <c r="K221" s="95"/>
      <c r="L221" s="50"/>
      <c r="M221" s="28"/>
      <c r="N221" s="45"/>
      <c r="O221" s="102"/>
      <c r="P221" s="102"/>
      <c r="Q221" s="102"/>
      <c r="R221" s="34"/>
      <c r="S221" s="45"/>
      <c r="T221" s="45"/>
      <c r="U221" s="104"/>
      <c r="V221" s="28"/>
      <c r="W221" s="34"/>
      <c r="X221" s="116"/>
      <c r="Y221" s="1"/>
      <c r="Z221" s="1"/>
      <c r="AA221" s="1"/>
    </row>
    <row r="222" ht="15.75" customHeight="1">
      <c r="A222" s="28"/>
      <c r="B222" s="28"/>
      <c r="C222" s="28"/>
      <c r="D222" s="28"/>
      <c r="E222" s="45"/>
      <c r="F222" s="28"/>
      <c r="G222" s="95"/>
      <c r="H222" s="95"/>
      <c r="I222" s="95"/>
      <c r="J222" s="95"/>
      <c r="K222" s="95"/>
      <c r="L222" s="50"/>
      <c r="M222" s="28"/>
      <c r="N222" s="45"/>
      <c r="O222" s="102"/>
      <c r="P222" s="102"/>
      <c r="Q222" s="102"/>
      <c r="R222" s="34"/>
      <c r="S222" s="45"/>
      <c r="T222" s="45"/>
      <c r="U222" s="104"/>
      <c r="V222" s="28"/>
      <c r="W222" s="34"/>
      <c r="X222" s="116"/>
      <c r="Y222" s="1"/>
      <c r="Z222" s="1"/>
      <c r="AA222" s="1"/>
    </row>
    <row r="223" ht="15.75" customHeight="1">
      <c r="A223" s="28"/>
      <c r="B223" s="28"/>
      <c r="C223" s="28"/>
      <c r="D223" s="28"/>
      <c r="E223" s="45"/>
      <c r="F223" s="28"/>
      <c r="G223" s="95"/>
      <c r="H223" s="95"/>
      <c r="I223" s="95"/>
      <c r="J223" s="95"/>
      <c r="K223" s="95"/>
      <c r="L223" s="50"/>
      <c r="M223" s="28"/>
      <c r="N223" s="45"/>
      <c r="O223" s="102"/>
      <c r="P223" s="102"/>
      <c r="Q223" s="102"/>
      <c r="R223" s="34"/>
      <c r="S223" s="45"/>
      <c r="T223" s="45"/>
      <c r="U223" s="104"/>
      <c r="V223" s="28"/>
      <c r="W223" s="34"/>
      <c r="X223" s="116"/>
      <c r="Y223" s="1"/>
      <c r="Z223" s="1"/>
      <c r="AA223" s="1"/>
    </row>
    <row r="224" ht="15.75" customHeight="1">
      <c r="A224" s="28"/>
      <c r="B224" s="28"/>
      <c r="C224" s="28"/>
      <c r="D224" s="28"/>
      <c r="E224" s="45"/>
      <c r="F224" s="28"/>
      <c r="G224" s="95"/>
      <c r="H224" s="95"/>
      <c r="I224" s="95"/>
      <c r="J224" s="95"/>
      <c r="K224" s="95"/>
      <c r="L224" s="50"/>
      <c r="M224" s="28"/>
      <c r="N224" s="45"/>
      <c r="O224" s="102"/>
      <c r="P224" s="102"/>
      <c r="Q224" s="102"/>
      <c r="R224" s="34"/>
      <c r="S224" s="45"/>
      <c r="T224" s="45"/>
      <c r="U224" s="104"/>
      <c r="V224" s="28"/>
      <c r="W224" s="34"/>
      <c r="X224" s="116"/>
      <c r="Y224" s="1"/>
      <c r="Z224" s="1"/>
      <c r="AA224" s="1"/>
    </row>
    <row r="225" ht="15.75" customHeight="1">
      <c r="A225" s="28"/>
      <c r="B225" s="28"/>
      <c r="C225" s="28"/>
      <c r="D225" s="28"/>
      <c r="E225" s="45"/>
      <c r="F225" s="28"/>
      <c r="G225" s="95"/>
      <c r="H225" s="95"/>
      <c r="I225" s="95"/>
      <c r="J225" s="95"/>
      <c r="K225" s="95"/>
      <c r="L225" s="50"/>
      <c r="M225" s="28"/>
      <c r="N225" s="45"/>
      <c r="O225" s="102"/>
      <c r="P225" s="102"/>
      <c r="Q225" s="102"/>
      <c r="R225" s="34"/>
      <c r="S225" s="45"/>
      <c r="T225" s="45"/>
      <c r="U225" s="104"/>
      <c r="V225" s="28"/>
      <c r="W225" s="34"/>
      <c r="X225" s="116"/>
      <c r="Y225" s="1"/>
      <c r="Z225" s="1"/>
      <c r="AA225" s="1"/>
    </row>
    <row r="226" ht="15.75" customHeight="1">
      <c r="A226" s="28"/>
      <c r="B226" s="28"/>
      <c r="C226" s="28"/>
      <c r="D226" s="28"/>
      <c r="E226" s="45"/>
      <c r="F226" s="28"/>
      <c r="G226" s="95"/>
      <c r="H226" s="95"/>
      <c r="I226" s="95"/>
      <c r="J226" s="95"/>
      <c r="K226" s="95"/>
      <c r="L226" s="50"/>
      <c r="M226" s="28"/>
      <c r="N226" s="45"/>
      <c r="O226" s="102"/>
      <c r="P226" s="102"/>
      <c r="Q226" s="102"/>
      <c r="R226" s="34"/>
      <c r="S226" s="45"/>
      <c r="T226" s="45"/>
      <c r="U226" s="104"/>
      <c r="V226" s="28"/>
      <c r="W226" s="34"/>
      <c r="X226" s="116"/>
      <c r="Y226" s="1"/>
      <c r="Z226" s="1"/>
      <c r="AA226" s="1"/>
    </row>
    <row r="227" ht="15.75" customHeight="1">
      <c r="A227" s="28"/>
      <c r="B227" s="28"/>
      <c r="C227" s="28"/>
      <c r="D227" s="28"/>
      <c r="E227" s="45"/>
      <c r="F227" s="28"/>
      <c r="G227" s="95"/>
      <c r="H227" s="95"/>
      <c r="I227" s="95"/>
      <c r="J227" s="95"/>
      <c r="K227" s="95"/>
      <c r="L227" s="50"/>
      <c r="M227" s="28"/>
      <c r="N227" s="45"/>
      <c r="O227" s="102"/>
      <c r="P227" s="102"/>
      <c r="Q227" s="102"/>
      <c r="R227" s="34"/>
      <c r="S227" s="45"/>
      <c r="T227" s="45"/>
      <c r="U227" s="104"/>
      <c r="V227" s="28"/>
      <c r="W227" s="34"/>
      <c r="X227" s="116"/>
      <c r="Y227" s="1"/>
      <c r="Z227" s="1"/>
      <c r="AA227" s="1"/>
    </row>
    <row r="228" ht="15.75" customHeight="1">
      <c r="A228" s="28"/>
      <c r="B228" s="28"/>
      <c r="C228" s="28"/>
      <c r="D228" s="28"/>
      <c r="E228" s="45"/>
      <c r="F228" s="28"/>
      <c r="G228" s="95"/>
      <c r="H228" s="95"/>
      <c r="I228" s="95"/>
      <c r="J228" s="95"/>
      <c r="K228" s="95"/>
      <c r="L228" s="50"/>
      <c r="M228" s="28"/>
      <c r="N228" s="45"/>
      <c r="O228" s="102"/>
      <c r="P228" s="102"/>
      <c r="Q228" s="102"/>
      <c r="R228" s="34"/>
      <c r="S228" s="45"/>
      <c r="T228" s="45"/>
      <c r="U228" s="104"/>
      <c r="V228" s="28"/>
      <c r="W228" s="34"/>
      <c r="X228" s="116"/>
      <c r="Y228" s="1"/>
      <c r="Z228" s="1"/>
      <c r="AA228" s="1"/>
    </row>
    <row r="229" ht="15.75" customHeight="1">
      <c r="A229" s="28"/>
      <c r="B229" s="28"/>
      <c r="C229" s="28"/>
      <c r="D229" s="28"/>
      <c r="E229" s="45"/>
      <c r="F229" s="28"/>
      <c r="G229" s="95"/>
      <c r="H229" s="95"/>
      <c r="I229" s="95"/>
      <c r="J229" s="95"/>
      <c r="K229" s="95"/>
      <c r="L229" s="50"/>
      <c r="M229" s="28"/>
      <c r="N229" s="45"/>
      <c r="O229" s="102"/>
      <c r="P229" s="102"/>
      <c r="Q229" s="102"/>
      <c r="R229" s="34"/>
      <c r="S229" s="45"/>
      <c r="T229" s="45"/>
      <c r="U229" s="104"/>
      <c r="V229" s="28"/>
      <c r="W229" s="34"/>
      <c r="X229" s="116"/>
      <c r="Y229" s="1"/>
      <c r="Z229" s="1"/>
      <c r="AA229" s="1"/>
    </row>
    <row r="230" ht="15.75" customHeight="1">
      <c r="A230" s="28"/>
      <c r="B230" s="28"/>
      <c r="C230" s="28"/>
      <c r="D230" s="28"/>
      <c r="E230" s="45"/>
      <c r="F230" s="28"/>
      <c r="G230" s="95"/>
      <c r="H230" s="95"/>
      <c r="I230" s="95"/>
      <c r="J230" s="95"/>
      <c r="K230" s="95"/>
      <c r="L230" s="50"/>
      <c r="M230" s="28"/>
      <c r="N230" s="45"/>
      <c r="O230" s="102"/>
      <c r="P230" s="102"/>
      <c r="Q230" s="102"/>
      <c r="R230" s="34"/>
      <c r="S230" s="45"/>
      <c r="T230" s="45"/>
      <c r="U230" s="104"/>
      <c r="V230" s="28"/>
      <c r="W230" s="34"/>
      <c r="X230" s="116"/>
      <c r="Y230" s="1"/>
      <c r="Z230" s="1"/>
      <c r="AA230" s="1"/>
    </row>
    <row r="231" ht="15.75" customHeight="1">
      <c r="A231" s="28"/>
      <c r="B231" s="28"/>
      <c r="C231" s="28"/>
      <c r="D231" s="28"/>
      <c r="E231" s="45"/>
      <c r="F231" s="28"/>
      <c r="G231" s="95"/>
      <c r="H231" s="95"/>
      <c r="I231" s="95"/>
      <c r="J231" s="95"/>
      <c r="K231" s="95"/>
      <c r="L231" s="50"/>
      <c r="M231" s="28"/>
      <c r="N231" s="45"/>
      <c r="O231" s="102"/>
      <c r="P231" s="102"/>
      <c r="Q231" s="102"/>
      <c r="R231" s="34"/>
      <c r="S231" s="45"/>
      <c r="T231" s="45"/>
      <c r="U231" s="104"/>
      <c r="V231" s="28"/>
      <c r="W231" s="34"/>
      <c r="X231" s="116"/>
      <c r="Y231" s="1"/>
      <c r="Z231" s="1"/>
      <c r="AA231" s="1"/>
    </row>
    <row r="232" ht="15.75" customHeight="1">
      <c r="A232" s="28"/>
      <c r="B232" s="28"/>
      <c r="C232" s="28"/>
      <c r="D232" s="28"/>
      <c r="E232" s="45"/>
      <c r="F232" s="28"/>
      <c r="G232" s="95"/>
      <c r="H232" s="95"/>
      <c r="I232" s="95"/>
      <c r="J232" s="95"/>
      <c r="K232" s="95"/>
      <c r="L232" s="50"/>
      <c r="M232" s="28"/>
      <c r="N232" s="45"/>
      <c r="O232" s="102"/>
      <c r="P232" s="102"/>
      <c r="Q232" s="102"/>
      <c r="R232" s="34"/>
      <c r="S232" s="45"/>
      <c r="T232" s="45"/>
      <c r="U232" s="104"/>
      <c r="V232" s="28"/>
      <c r="W232" s="34"/>
      <c r="X232" s="116"/>
      <c r="Y232" s="1"/>
      <c r="Z232" s="1"/>
      <c r="AA232" s="1"/>
    </row>
    <row r="233" ht="15.75" customHeight="1">
      <c r="A233" s="28"/>
      <c r="B233" s="28"/>
      <c r="C233" s="28"/>
      <c r="D233" s="28"/>
      <c r="E233" s="45"/>
      <c r="F233" s="28"/>
      <c r="G233" s="95"/>
      <c r="H233" s="95"/>
      <c r="I233" s="95"/>
      <c r="J233" s="95"/>
      <c r="K233" s="95"/>
      <c r="L233" s="50"/>
      <c r="M233" s="28"/>
      <c r="N233" s="45"/>
      <c r="O233" s="102"/>
      <c r="P233" s="102"/>
      <c r="Q233" s="102"/>
      <c r="R233" s="34"/>
      <c r="S233" s="45"/>
      <c r="T233" s="45"/>
      <c r="U233" s="104"/>
      <c r="V233" s="28"/>
      <c r="W233" s="34"/>
      <c r="X233" s="116"/>
      <c r="Y233" s="1"/>
      <c r="Z233" s="1"/>
      <c r="AA233" s="1"/>
    </row>
    <row r="234" ht="15.75" customHeight="1">
      <c r="A234" s="28"/>
      <c r="B234" s="28"/>
      <c r="C234" s="28"/>
      <c r="D234" s="28"/>
      <c r="E234" s="45"/>
      <c r="F234" s="28"/>
      <c r="G234" s="95"/>
      <c r="H234" s="95"/>
      <c r="I234" s="95"/>
      <c r="J234" s="95"/>
      <c r="K234" s="95"/>
      <c r="L234" s="50"/>
      <c r="M234" s="28"/>
      <c r="N234" s="45"/>
      <c r="O234" s="102"/>
      <c r="P234" s="102"/>
      <c r="Q234" s="102"/>
      <c r="R234" s="34"/>
      <c r="S234" s="45"/>
      <c r="T234" s="45"/>
      <c r="U234" s="104"/>
      <c r="V234" s="28"/>
      <c r="W234" s="34"/>
      <c r="X234" s="116"/>
      <c r="Y234" s="1"/>
      <c r="Z234" s="1"/>
      <c r="AA234" s="1"/>
    </row>
    <row r="235" ht="15.75" customHeight="1">
      <c r="A235" s="28"/>
      <c r="B235" s="28"/>
      <c r="C235" s="28"/>
      <c r="D235" s="28"/>
      <c r="E235" s="45"/>
      <c r="F235" s="28"/>
      <c r="G235" s="95"/>
      <c r="H235" s="95"/>
      <c r="I235" s="95"/>
      <c r="J235" s="95"/>
      <c r="K235" s="95"/>
      <c r="L235" s="50"/>
      <c r="M235" s="28"/>
      <c r="N235" s="45"/>
      <c r="O235" s="102"/>
      <c r="P235" s="102"/>
      <c r="Q235" s="102"/>
      <c r="R235" s="34"/>
      <c r="S235" s="45"/>
      <c r="T235" s="45"/>
      <c r="U235" s="104"/>
      <c r="V235" s="28"/>
      <c r="W235" s="34"/>
      <c r="X235" s="116"/>
      <c r="Y235" s="1"/>
      <c r="Z235" s="1"/>
      <c r="AA235" s="1"/>
    </row>
    <row r="236" ht="15.75" customHeight="1">
      <c r="A236" s="28"/>
      <c r="B236" s="28"/>
      <c r="C236" s="28"/>
      <c r="D236" s="28"/>
      <c r="E236" s="45"/>
      <c r="F236" s="28"/>
      <c r="G236" s="95"/>
      <c r="H236" s="95"/>
      <c r="I236" s="95"/>
      <c r="J236" s="95"/>
      <c r="K236" s="95"/>
      <c r="L236" s="50"/>
      <c r="M236" s="28"/>
      <c r="N236" s="45"/>
      <c r="O236" s="102"/>
      <c r="P236" s="102"/>
      <c r="Q236" s="102"/>
      <c r="R236" s="34"/>
      <c r="S236" s="45"/>
      <c r="T236" s="45"/>
      <c r="U236" s="104"/>
      <c r="V236" s="28"/>
      <c r="W236" s="34"/>
      <c r="X236" s="116"/>
      <c r="Y236" s="1"/>
      <c r="Z236" s="1"/>
      <c r="AA236" s="1"/>
    </row>
    <row r="237" ht="15.75" customHeight="1">
      <c r="A237" s="28"/>
      <c r="B237" s="28"/>
      <c r="C237" s="28"/>
      <c r="D237" s="28"/>
      <c r="E237" s="45"/>
      <c r="F237" s="28"/>
      <c r="G237" s="95"/>
      <c r="H237" s="95"/>
      <c r="I237" s="95"/>
      <c r="J237" s="95"/>
      <c r="K237" s="95"/>
      <c r="L237" s="50"/>
      <c r="M237" s="28"/>
      <c r="N237" s="45"/>
      <c r="O237" s="102"/>
      <c r="P237" s="102"/>
      <c r="Q237" s="102"/>
      <c r="R237" s="34"/>
      <c r="S237" s="45"/>
      <c r="T237" s="45"/>
      <c r="U237" s="104"/>
      <c r="V237" s="28"/>
      <c r="W237" s="34"/>
      <c r="X237" s="116"/>
      <c r="Y237" s="1"/>
      <c r="Z237" s="1"/>
      <c r="AA237" s="1"/>
    </row>
    <row r="238" ht="15.75" customHeight="1">
      <c r="A238" s="28"/>
      <c r="B238" s="28"/>
      <c r="C238" s="28"/>
      <c r="D238" s="28"/>
      <c r="E238" s="45"/>
      <c r="F238" s="28"/>
      <c r="G238" s="95"/>
      <c r="H238" s="95"/>
      <c r="I238" s="95"/>
      <c r="J238" s="95"/>
      <c r="K238" s="95"/>
      <c r="L238" s="50"/>
      <c r="M238" s="28"/>
      <c r="N238" s="45"/>
      <c r="O238" s="102"/>
      <c r="P238" s="102"/>
      <c r="Q238" s="102"/>
      <c r="R238" s="34"/>
      <c r="S238" s="45"/>
      <c r="T238" s="45"/>
      <c r="U238" s="104"/>
      <c r="V238" s="28"/>
      <c r="W238" s="34"/>
      <c r="X238" s="116"/>
      <c r="Y238" s="1"/>
      <c r="Z238" s="1"/>
      <c r="AA238" s="1"/>
    </row>
    <row r="239" ht="15.75" customHeight="1">
      <c r="A239" s="28"/>
      <c r="B239" s="28"/>
      <c r="C239" s="28"/>
      <c r="D239" s="28"/>
      <c r="E239" s="45"/>
      <c r="F239" s="28"/>
      <c r="G239" s="95"/>
      <c r="H239" s="95"/>
      <c r="I239" s="95"/>
      <c r="J239" s="95"/>
      <c r="K239" s="95"/>
      <c r="L239" s="50"/>
      <c r="M239" s="28"/>
      <c r="N239" s="45"/>
      <c r="O239" s="102"/>
      <c r="P239" s="102"/>
      <c r="Q239" s="102"/>
      <c r="R239" s="34"/>
      <c r="S239" s="45"/>
      <c r="T239" s="45"/>
      <c r="U239" s="104"/>
      <c r="V239" s="28"/>
      <c r="W239" s="34"/>
      <c r="X239" s="116"/>
      <c r="Y239" s="1"/>
      <c r="Z239" s="1"/>
      <c r="AA239" s="1"/>
    </row>
    <row r="240" ht="15.75" customHeight="1">
      <c r="A240" s="28"/>
      <c r="B240" s="28"/>
      <c r="C240" s="28"/>
      <c r="D240" s="28"/>
      <c r="E240" s="45"/>
      <c r="F240" s="28"/>
      <c r="G240" s="95"/>
      <c r="H240" s="95"/>
      <c r="I240" s="95"/>
      <c r="J240" s="95"/>
      <c r="K240" s="95"/>
      <c r="L240" s="50"/>
      <c r="M240" s="28"/>
      <c r="N240" s="45"/>
      <c r="O240" s="102"/>
      <c r="P240" s="102"/>
      <c r="Q240" s="102"/>
      <c r="R240" s="34"/>
      <c r="S240" s="45"/>
      <c r="T240" s="45"/>
      <c r="U240" s="104"/>
      <c r="V240" s="28"/>
      <c r="W240" s="34"/>
      <c r="X240" s="116"/>
      <c r="Y240" s="1"/>
      <c r="Z240" s="1"/>
      <c r="AA240" s="1"/>
    </row>
    <row r="241" ht="15.75" customHeight="1">
      <c r="A241" s="28"/>
      <c r="B241" s="28"/>
      <c r="C241" s="28"/>
      <c r="D241" s="28"/>
      <c r="E241" s="45"/>
      <c r="F241" s="28"/>
      <c r="G241" s="95"/>
      <c r="H241" s="95"/>
      <c r="I241" s="95"/>
      <c r="J241" s="95"/>
      <c r="K241" s="95"/>
      <c r="L241" s="50"/>
      <c r="M241" s="28"/>
      <c r="N241" s="45"/>
      <c r="O241" s="102"/>
      <c r="P241" s="102"/>
      <c r="Q241" s="102"/>
      <c r="R241" s="34"/>
      <c r="S241" s="45"/>
      <c r="T241" s="45"/>
      <c r="U241" s="104"/>
      <c r="V241" s="28"/>
      <c r="W241" s="34"/>
      <c r="X241" s="116"/>
      <c r="Y241" s="1"/>
      <c r="Z241" s="1"/>
      <c r="AA241" s="1"/>
    </row>
    <row r="242" ht="15.75" customHeight="1">
      <c r="A242" s="28"/>
      <c r="B242" s="28"/>
      <c r="C242" s="28"/>
      <c r="D242" s="28"/>
      <c r="E242" s="45"/>
      <c r="F242" s="28"/>
      <c r="G242" s="95"/>
      <c r="H242" s="95"/>
      <c r="I242" s="95"/>
      <c r="J242" s="95"/>
      <c r="K242" s="95"/>
      <c r="L242" s="50"/>
      <c r="M242" s="28"/>
      <c r="N242" s="45"/>
      <c r="O242" s="102"/>
      <c r="P242" s="102"/>
      <c r="Q242" s="102"/>
      <c r="R242" s="34"/>
      <c r="S242" s="45"/>
      <c r="T242" s="45"/>
      <c r="U242" s="104"/>
      <c r="V242" s="28"/>
      <c r="W242" s="34"/>
      <c r="X242" s="116"/>
      <c r="Y242" s="1"/>
      <c r="Z242" s="1"/>
      <c r="AA242" s="1"/>
    </row>
    <row r="243" ht="15.75" customHeight="1">
      <c r="A243" s="28"/>
      <c r="B243" s="28"/>
      <c r="C243" s="28"/>
      <c r="D243" s="28"/>
      <c r="E243" s="45"/>
      <c r="F243" s="28"/>
      <c r="G243" s="95"/>
      <c r="H243" s="95"/>
      <c r="I243" s="95"/>
      <c r="J243" s="95"/>
      <c r="K243" s="95"/>
      <c r="L243" s="50"/>
      <c r="M243" s="28"/>
      <c r="N243" s="45"/>
      <c r="O243" s="102"/>
      <c r="P243" s="102"/>
      <c r="Q243" s="102"/>
      <c r="R243" s="34"/>
      <c r="S243" s="45"/>
      <c r="T243" s="45"/>
      <c r="U243" s="104"/>
      <c r="V243" s="28"/>
      <c r="W243" s="34"/>
      <c r="X243" s="116"/>
      <c r="Y243" s="1"/>
      <c r="Z243" s="1"/>
      <c r="AA243" s="1"/>
    </row>
    <row r="244" ht="15.75" customHeight="1">
      <c r="A244" s="28"/>
      <c r="B244" s="28"/>
      <c r="C244" s="28"/>
      <c r="D244" s="28"/>
      <c r="E244" s="45"/>
      <c r="F244" s="28"/>
      <c r="G244" s="95"/>
      <c r="H244" s="95"/>
      <c r="I244" s="95"/>
      <c r="J244" s="95"/>
      <c r="K244" s="95"/>
      <c r="L244" s="50"/>
      <c r="M244" s="28"/>
      <c r="N244" s="45"/>
      <c r="O244" s="102"/>
      <c r="P244" s="102"/>
      <c r="Q244" s="102"/>
      <c r="R244" s="34"/>
      <c r="S244" s="45"/>
      <c r="T244" s="45"/>
      <c r="U244" s="104"/>
      <c r="V244" s="28"/>
      <c r="W244" s="34"/>
      <c r="X244" s="116"/>
      <c r="Y244" s="1"/>
      <c r="Z244" s="1"/>
      <c r="AA244" s="1"/>
    </row>
    <row r="245" ht="15.75" customHeight="1">
      <c r="A245" s="28"/>
      <c r="B245" s="28"/>
      <c r="C245" s="28"/>
      <c r="D245" s="28"/>
      <c r="E245" s="45"/>
      <c r="F245" s="28"/>
      <c r="G245" s="95"/>
      <c r="H245" s="95"/>
      <c r="I245" s="95"/>
      <c r="J245" s="95"/>
      <c r="K245" s="95"/>
      <c r="L245" s="50"/>
      <c r="M245" s="28"/>
      <c r="N245" s="45"/>
      <c r="O245" s="102"/>
      <c r="P245" s="102"/>
      <c r="Q245" s="102"/>
      <c r="R245" s="34"/>
      <c r="S245" s="45"/>
      <c r="T245" s="45"/>
      <c r="U245" s="104"/>
      <c r="V245" s="28"/>
      <c r="W245" s="34"/>
      <c r="X245" s="116"/>
      <c r="Y245" s="1"/>
      <c r="Z245" s="1"/>
      <c r="AA245" s="1"/>
    </row>
    <row r="246" ht="15.75" customHeight="1">
      <c r="A246" s="28"/>
      <c r="B246" s="28"/>
      <c r="C246" s="28"/>
      <c r="D246" s="28"/>
      <c r="E246" s="45"/>
      <c r="F246" s="28"/>
      <c r="G246" s="95"/>
      <c r="H246" s="95"/>
      <c r="I246" s="95"/>
      <c r="J246" s="95"/>
      <c r="K246" s="95"/>
      <c r="L246" s="50"/>
      <c r="M246" s="28"/>
      <c r="N246" s="45"/>
      <c r="O246" s="102"/>
      <c r="P246" s="102"/>
      <c r="Q246" s="102"/>
      <c r="R246" s="34"/>
      <c r="S246" s="45"/>
      <c r="T246" s="45"/>
      <c r="U246" s="104"/>
      <c r="V246" s="28"/>
      <c r="W246" s="34"/>
      <c r="X246" s="116"/>
      <c r="Y246" s="1"/>
      <c r="Z246" s="1"/>
      <c r="AA246" s="1"/>
    </row>
    <row r="247" ht="15.75" customHeight="1">
      <c r="A247" s="28"/>
      <c r="B247" s="28"/>
      <c r="C247" s="28"/>
      <c r="D247" s="28"/>
      <c r="E247" s="45"/>
      <c r="F247" s="28"/>
      <c r="G247" s="95"/>
      <c r="H247" s="95"/>
      <c r="I247" s="95"/>
      <c r="J247" s="95"/>
      <c r="K247" s="95"/>
      <c r="L247" s="50"/>
      <c r="M247" s="28"/>
      <c r="N247" s="45"/>
      <c r="O247" s="102"/>
      <c r="P247" s="102"/>
      <c r="Q247" s="102"/>
      <c r="R247" s="34"/>
      <c r="S247" s="45"/>
      <c r="T247" s="45"/>
      <c r="U247" s="104"/>
      <c r="V247" s="28"/>
      <c r="W247" s="34"/>
      <c r="X247" s="116"/>
      <c r="Y247" s="1"/>
      <c r="Z247" s="1"/>
      <c r="AA247" s="1"/>
    </row>
    <row r="248" ht="15.75" customHeight="1">
      <c r="A248" s="28"/>
      <c r="B248" s="28"/>
      <c r="C248" s="28"/>
      <c r="D248" s="28"/>
      <c r="E248" s="45"/>
      <c r="F248" s="28"/>
      <c r="G248" s="95"/>
      <c r="H248" s="95"/>
      <c r="I248" s="95"/>
      <c r="J248" s="95"/>
      <c r="K248" s="95"/>
      <c r="L248" s="50"/>
      <c r="M248" s="28"/>
      <c r="N248" s="45"/>
      <c r="O248" s="102"/>
      <c r="P248" s="102"/>
      <c r="Q248" s="102"/>
      <c r="R248" s="34"/>
      <c r="S248" s="45"/>
      <c r="T248" s="45"/>
      <c r="U248" s="104"/>
      <c r="V248" s="28"/>
      <c r="W248" s="34"/>
      <c r="X248" s="116"/>
      <c r="Y248" s="1"/>
      <c r="Z248" s="1"/>
      <c r="AA248" s="1"/>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A4"/>
    <mergeCell ref="B2:B4"/>
  </mergeCells>
  <dataValidations>
    <dataValidation type="list" allowBlank="1" showErrorMessage="1" sqref="B2 B5:B49">
      <formula1>"United States,UK,DACH,France,LatAm"</formula1>
    </dataValidation>
    <dataValidation type="list" allowBlank="1" showErrorMessage="1" sqref="C2:C49">
      <formula1>"IG,YT,TikTok"</formula1>
    </dataValidation>
    <dataValidation type="list" allowBlank="1" showErrorMessage="1" sqref="D2:D49">
      <formula1>"Stories,Feed Post,Reel,Integration,Dedicated Vid,TikTok"</formula1>
    </dataValidation>
  </dataValidations>
  <hyperlinks>
    <hyperlink r:id="rId1" ref="G2"/>
    <hyperlink r:id="rId2" ref="H2"/>
    <hyperlink r:id="rId3" ref="G3"/>
    <hyperlink r:id="rId4" ref="H3"/>
    <hyperlink r:id="rId5" ref="G4"/>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3.13"/>
    <col customWidth="1" min="2" max="2" width="19.0"/>
    <col customWidth="1" min="3" max="4" width="10.0"/>
    <col customWidth="1" min="5" max="5" width="6.5"/>
    <col customWidth="1" min="6" max="7" width="15.5"/>
    <col customWidth="1" min="8" max="8" width="11.75"/>
    <col customWidth="1" min="9" max="10" width="10.25"/>
    <col customWidth="1" min="11" max="12" width="10.0"/>
    <col customWidth="1" min="13" max="16" width="11.25"/>
    <col customWidth="1" min="17" max="17" width="2.88"/>
    <col customWidth="1" min="18" max="18" width="12.88"/>
    <col customWidth="1" min="20" max="20" width="9.75"/>
    <col customWidth="1" min="21" max="23" width="11.88"/>
  </cols>
  <sheetData>
    <row r="1" ht="52.5" customHeight="1">
      <c r="A1" s="12" t="s">
        <v>4</v>
      </c>
      <c r="B1" s="12" t="s">
        <v>9</v>
      </c>
      <c r="C1" s="17" t="s">
        <v>23</v>
      </c>
      <c r="D1" s="17" t="s">
        <v>46</v>
      </c>
      <c r="E1" s="20" t="s">
        <v>20</v>
      </c>
      <c r="F1" s="12" t="s">
        <v>43</v>
      </c>
      <c r="G1" s="12" t="s">
        <v>115</v>
      </c>
      <c r="H1" s="12" t="s">
        <v>28</v>
      </c>
      <c r="I1" s="12" t="s">
        <v>13</v>
      </c>
      <c r="J1" s="12" t="s">
        <v>116</v>
      </c>
      <c r="K1" s="26" t="s">
        <v>45</v>
      </c>
      <c r="L1" s="12" t="s">
        <v>14</v>
      </c>
      <c r="M1" s="24" t="s">
        <v>117</v>
      </c>
      <c r="N1" s="24" t="s">
        <v>118</v>
      </c>
      <c r="O1" s="24" t="s">
        <v>119</v>
      </c>
      <c r="P1" s="24" t="s">
        <v>13</v>
      </c>
      <c r="Q1" s="12" t="s">
        <v>49</v>
      </c>
      <c r="S1" s="12" t="s">
        <v>120</v>
      </c>
      <c r="T1" s="12" t="s">
        <v>31</v>
      </c>
      <c r="U1" s="17" t="s">
        <v>121</v>
      </c>
      <c r="V1" s="24" t="s">
        <v>122</v>
      </c>
      <c r="W1" s="20" t="s">
        <v>34</v>
      </c>
    </row>
    <row r="2" ht="18.75" customHeight="1">
      <c r="A2" s="12"/>
      <c r="B2" s="12"/>
      <c r="C2" s="17"/>
      <c r="D2" s="17"/>
      <c r="E2" s="20"/>
      <c r="F2" s="12"/>
      <c r="G2" s="12"/>
      <c r="H2" s="12"/>
      <c r="I2" s="12"/>
      <c r="J2" s="12"/>
      <c r="K2" s="26"/>
      <c r="L2" s="12"/>
      <c r="M2" s="24"/>
      <c r="N2" s="24" t="s">
        <v>123</v>
      </c>
      <c r="O2" s="24">
        <f>sum(O4:O999)</f>
        <v>4500</v>
      </c>
      <c r="P2" s="24"/>
      <c r="Q2" s="12"/>
      <c r="R2" s="12"/>
      <c r="S2" s="12"/>
      <c r="T2" s="12"/>
      <c r="U2" s="17">
        <f t="shared" ref="U2:V2" si="1">sum(U4:U999)</f>
        <v>1665</v>
      </c>
      <c r="V2" s="24">
        <f t="shared" si="1"/>
        <v>83250</v>
      </c>
      <c r="W2" s="24" t="str">
        <f>AVERAGE(W3,W20,W40,W60,W80,W100,W120,W140,W160,W180,W200,W220)</f>
        <v>#DIV/0!</v>
      </c>
    </row>
    <row r="3" ht="18.75" customHeight="1">
      <c r="A3" s="12" t="s">
        <v>39</v>
      </c>
      <c r="B3" s="12"/>
      <c r="C3" s="17"/>
      <c r="D3" s="17"/>
      <c r="E3" s="20"/>
      <c r="F3" s="12"/>
      <c r="G3" s="12"/>
      <c r="H3" s="12"/>
      <c r="I3" s="12"/>
      <c r="J3" s="12"/>
      <c r="K3" s="26"/>
      <c r="L3" s="12"/>
      <c r="M3" s="24"/>
      <c r="N3" s="24"/>
      <c r="O3" s="24">
        <f>SUM(O4:O19)</f>
        <v>4500</v>
      </c>
      <c r="P3" s="24"/>
      <c r="Q3" s="12"/>
      <c r="R3" s="12"/>
      <c r="S3" s="12"/>
      <c r="T3" s="12"/>
      <c r="U3" s="17">
        <f t="shared" ref="U3:V3" si="2">SUM(U4:U103)</f>
        <v>1665</v>
      </c>
      <c r="V3" s="24">
        <f t="shared" si="2"/>
        <v>83250</v>
      </c>
      <c r="W3" s="20">
        <f>AVERAGE(W4:W6)</f>
        <v>18.5</v>
      </c>
    </row>
    <row r="4" ht="15.75" customHeight="1">
      <c r="A4" s="49" t="s">
        <v>50</v>
      </c>
      <c r="B4" s="49" t="s">
        <v>51</v>
      </c>
      <c r="C4" s="52" t="s">
        <v>57</v>
      </c>
      <c r="D4" s="52" t="s">
        <v>57</v>
      </c>
      <c r="E4" s="54">
        <v>4.0E-4</v>
      </c>
      <c r="F4" s="49" t="s">
        <v>52</v>
      </c>
      <c r="G4" s="49" t="s">
        <v>124</v>
      </c>
      <c r="H4" s="49" t="s">
        <v>63</v>
      </c>
      <c r="I4" s="49" t="s">
        <v>125</v>
      </c>
      <c r="J4" s="49"/>
      <c r="K4" s="51">
        <v>45672.0</v>
      </c>
      <c r="L4" s="106" t="s">
        <v>126</v>
      </c>
      <c r="M4" s="55" t="s">
        <v>127</v>
      </c>
      <c r="N4" s="55" t="s">
        <v>128</v>
      </c>
      <c r="O4" s="55">
        <v>1500.0</v>
      </c>
      <c r="P4" s="55" t="s">
        <v>129</v>
      </c>
      <c r="Q4" s="49"/>
      <c r="R4" s="49" t="s">
        <v>59</v>
      </c>
      <c r="S4" s="48"/>
      <c r="T4" s="60"/>
      <c r="U4" s="52">
        <v>555.0</v>
      </c>
      <c r="V4" s="55">
        <v>27750.0</v>
      </c>
      <c r="W4" s="54">
        <f t="shared" ref="W4:W6" si="3">V4/O4</f>
        <v>18.5</v>
      </c>
    </row>
    <row r="5" ht="15.75" customHeight="1">
      <c r="J5" s="49"/>
      <c r="M5" s="55" t="s">
        <v>127</v>
      </c>
      <c r="N5" s="55" t="s">
        <v>128</v>
      </c>
      <c r="O5" s="55">
        <v>1500.0</v>
      </c>
      <c r="P5" s="55" t="s">
        <v>130</v>
      </c>
      <c r="Q5" s="49"/>
      <c r="R5" s="49" t="s">
        <v>60</v>
      </c>
      <c r="S5" s="48"/>
      <c r="T5" s="60"/>
      <c r="U5" s="52">
        <v>555.0</v>
      </c>
      <c r="V5" s="55">
        <v>27750.0</v>
      </c>
      <c r="W5" s="54">
        <f t="shared" si="3"/>
        <v>18.5</v>
      </c>
    </row>
    <row r="6" ht="15.75" customHeight="1">
      <c r="J6" s="49"/>
      <c r="M6" s="55" t="s">
        <v>127</v>
      </c>
      <c r="N6" s="55" t="s">
        <v>128</v>
      </c>
      <c r="O6" s="55">
        <v>1500.0</v>
      </c>
      <c r="P6" s="55" t="s">
        <v>131</v>
      </c>
      <c r="Q6" s="49"/>
      <c r="R6" s="49" t="s">
        <v>61</v>
      </c>
      <c r="S6" s="48"/>
      <c r="T6" s="60"/>
      <c r="U6" s="52">
        <v>555.0</v>
      </c>
      <c r="V6" s="55">
        <v>27750.0</v>
      </c>
      <c r="W6" s="54">
        <f t="shared" si="3"/>
        <v>18.5</v>
      </c>
    </row>
    <row r="7" ht="15.75" customHeight="1">
      <c r="A7" s="49"/>
      <c r="B7" s="49"/>
      <c r="C7" s="52"/>
      <c r="D7" s="52"/>
      <c r="E7" s="54"/>
      <c r="F7" s="49"/>
      <c r="G7" s="49"/>
      <c r="H7" s="49"/>
      <c r="I7" s="49"/>
      <c r="J7" s="49"/>
      <c r="K7" s="51"/>
      <c r="L7" s="106"/>
      <c r="M7" s="55"/>
      <c r="N7" s="55"/>
      <c r="O7" s="55"/>
      <c r="P7" s="55"/>
      <c r="Q7" s="49"/>
      <c r="R7" s="49"/>
      <c r="S7" s="48"/>
      <c r="T7" s="60"/>
      <c r="U7" s="52"/>
      <c r="V7" s="55"/>
      <c r="W7" s="54"/>
    </row>
    <row r="8" ht="15.75" customHeight="1">
      <c r="A8" s="57"/>
      <c r="B8" s="57"/>
      <c r="C8" s="58"/>
      <c r="D8" s="58"/>
      <c r="E8" s="59"/>
      <c r="F8" s="57"/>
      <c r="G8" s="57"/>
      <c r="H8" s="57"/>
      <c r="I8" s="49"/>
      <c r="J8" s="49"/>
      <c r="K8" s="51"/>
      <c r="L8" s="106"/>
      <c r="M8" s="61"/>
      <c r="N8" s="61"/>
      <c r="O8" s="61"/>
      <c r="P8" s="61"/>
      <c r="Q8" s="57"/>
      <c r="R8" s="49"/>
      <c r="S8" s="56"/>
      <c r="T8" s="60"/>
      <c r="U8" s="52"/>
      <c r="V8" s="55"/>
      <c r="W8" s="54"/>
    </row>
    <row r="9" ht="15.75" customHeight="1">
      <c r="A9" s="49"/>
      <c r="B9" s="49"/>
      <c r="C9" s="52"/>
      <c r="D9" s="52"/>
      <c r="E9" s="54"/>
      <c r="F9" s="49"/>
      <c r="G9" s="49"/>
      <c r="H9" s="49"/>
      <c r="I9" s="49"/>
      <c r="J9" s="49"/>
      <c r="K9" s="51"/>
      <c r="L9" s="106"/>
      <c r="M9" s="55"/>
      <c r="N9" s="55"/>
      <c r="O9" s="55"/>
      <c r="P9" s="55"/>
      <c r="Q9" s="49"/>
      <c r="R9" s="49"/>
      <c r="S9" s="48"/>
      <c r="T9" s="60"/>
      <c r="U9" s="52"/>
      <c r="V9" s="55"/>
      <c r="W9" s="54"/>
    </row>
    <row r="10" ht="15.75" customHeight="1">
      <c r="A10" s="49"/>
      <c r="B10" s="49"/>
      <c r="C10" s="52"/>
      <c r="D10" s="52"/>
      <c r="E10" s="54"/>
      <c r="F10" s="49"/>
      <c r="G10" s="49"/>
      <c r="H10" s="49"/>
      <c r="I10" s="49"/>
      <c r="J10" s="49"/>
      <c r="K10" s="51"/>
      <c r="L10" s="106"/>
      <c r="M10" s="55"/>
      <c r="N10" s="55"/>
      <c r="O10" s="55"/>
      <c r="P10" s="55"/>
      <c r="Q10" s="49"/>
      <c r="R10" s="49"/>
      <c r="S10" s="48"/>
      <c r="T10" s="60"/>
      <c r="U10" s="52"/>
      <c r="V10" s="55"/>
      <c r="W10" s="54"/>
    </row>
    <row r="11" ht="15.75" customHeight="1">
      <c r="A11" s="49"/>
      <c r="B11" s="49"/>
      <c r="C11" s="52"/>
      <c r="D11" s="52"/>
      <c r="E11" s="54"/>
      <c r="F11" s="49"/>
      <c r="G11" s="49"/>
      <c r="H11" s="49"/>
      <c r="I11" s="49"/>
      <c r="J11" s="49"/>
      <c r="K11" s="51"/>
      <c r="L11" s="106"/>
      <c r="M11" s="55"/>
      <c r="N11" s="55"/>
      <c r="O11" s="55"/>
      <c r="P11" s="55"/>
      <c r="Q11" s="49"/>
      <c r="R11" s="49"/>
      <c r="S11" s="48"/>
      <c r="T11" s="60"/>
      <c r="U11" s="52"/>
      <c r="V11" s="55"/>
      <c r="W11" s="54"/>
    </row>
    <row r="12" ht="15.75" customHeight="1">
      <c r="A12" s="49"/>
      <c r="B12" s="49"/>
      <c r="C12" s="52"/>
      <c r="D12" s="52"/>
      <c r="E12" s="54"/>
      <c r="F12" s="49"/>
      <c r="G12" s="49"/>
      <c r="H12" s="49"/>
      <c r="I12" s="49"/>
      <c r="J12" s="49"/>
      <c r="K12" s="51"/>
      <c r="L12" s="106"/>
      <c r="M12" s="55"/>
      <c r="N12" s="55"/>
      <c r="O12" s="55"/>
      <c r="P12" s="55"/>
      <c r="Q12" s="49"/>
      <c r="R12" s="49"/>
      <c r="S12" s="48"/>
      <c r="T12" s="60"/>
      <c r="U12" s="52"/>
      <c r="V12" s="55"/>
      <c r="W12" s="54"/>
    </row>
    <row r="13" ht="15.75" customHeight="1">
      <c r="A13" s="57"/>
      <c r="B13" s="57"/>
      <c r="C13" s="58"/>
      <c r="D13" s="58"/>
      <c r="E13" s="59"/>
      <c r="F13" s="57"/>
      <c r="G13" s="57"/>
      <c r="H13" s="57"/>
      <c r="I13" s="49"/>
      <c r="J13" s="49"/>
      <c r="K13" s="51"/>
      <c r="L13" s="106"/>
      <c r="M13" s="61"/>
      <c r="N13" s="61"/>
      <c r="O13" s="61"/>
      <c r="P13" s="61"/>
      <c r="Q13" s="57"/>
      <c r="R13" s="49"/>
      <c r="S13" s="56"/>
      <c r="T13" s="60"/>
      <c r="U13" s="52"/>
      <c r="V13" s="55"/>
      <c r="W13" s="54"/>
    </row>
    <row r="14" ht="15.75" customHeight="1">
      <c r="A14" s="49"/>
      <c r="B14" s="49"/>
      <c r="C14" s="52"/>
      <c r="D14" s="52"/>
      <c r="E14" s="54"/>
      <c r="F14" s="49"/>
      <c r="G14" s="49"/>
      <c r="H14" s="49"/>
      <c r="I14" s="49"/>
      <c r="J14" s="49"/>
      <c r="K14" s="51"/>
      <c r="L14" s="106"/>
      <c r="M14" s="55"/>
      <c r="N14" s="55"/>
      <c r="O14" s="55"/>
      <c r="P14" s="55"/>
      <c r="Q14" s="49"/>
      <c r="R14" s="49"/>
      <c r="S14" s="48"/>
      <c r="T14" s="60"/>
      <c r="U14" s="52"/>
      <c r="V14" s="55"/>
      <c r="W14" s="54"/>
    </row>
    <row r="15" ht="15.75" customHeight="1">
      <c r="A15" s="49"/>
      <c r="B15" s="49"/>
      <c r="C15" s="52"/>
      <c r="D15" s="52"/>
      <c r="E15" s="54"/>
      <c r="F15" s="49"/>
      <c r="G15" s="49"/>
      <c r="H15" s="49"/>
      <c r="I15" s="49"/>
      <c r="J15" s="49"/>
      <c r="K15" s="51"/>
      <c r="L15" s="106"/>
      <c r="M15" s="55"/>
      <c r="N15" s="55"/>
      <c r="O15" s="55"/>
      <c r="P15" s="55"/>
      <c r="Q15" s="49"/>
      <c r="R15" s="49"/>
      <c r="S15" s="48"/>
      <c r="T15" s="60"/>
      <c r="U15" s="52"/>
      <c r="V15" s="55"/>
      <c r="W15" s="54"/>
    </row>
    <row r="16" ht="15.75" customHeight="1">
      <c r="A16" s="49"/>
      <c r="B16" s="49"/>
      <c r="C16" s="52"/>
      <c r="D16" s="52"/>
      <c r="E16" s="54"/>
      <c r="F16" s="49"/>
      <c r="G16" s="49"/>
      <c r="H16" s="49"/>
      <c r="I16" s="49"/>
      <c r="J16" s="49"/>
      <c r="K16" s="51"/>
      <c r="L16" s="106"/>
      <c r="M16" s="55"/>
      <c r="N16" s="55"/>
      <c r="O16" s="55"/>
      <c r="P16" s="55"/>
      <c r="Q16" s="49"/>
      <c r="R16" s="49"/>
      <c r="S16" s="48"/>
      <c r="T16" s="60"/>
      <c r="U16" s="52"/>
      <c r="V16" s="55"/>
      <c r="W16" s="54"/>
    </row>
    <row r="17" ht="15.75" customHeight="1">
      <c r="A17" s="49"/>
      <c r="B17" s="49"/>
      <c r="C17" s="52"/>
      <c r="D17" s="52"/>
      <c r="E17" s="54"/>
      <c r="F17" s="49"/>
      <c r="G17" s="49"/>
      <c r="H17" s="49"/>
      <c r="I17" s="49"/>
      <c r="J17" s="49"/>
      <c r="K17" s="51"/>
      <c r="L17" s="106"/>
      <c r="M17" s="55"/>
      <c r="N17" s="55"/>
      <c r="O17" s="55"/>
      <c r="P17" s="55"/>
      <c r="Q17" s="49"/>
      <c r="R17" s="49"/>
      <c r="S17" s="48"/>
      <c r="T17" s="60"/>
      <c r="U17" s="52"/>
      <c r="V17" s="55"/>
      <c r="W17" s="54"/>
    </row>
    <row r="18" ht="15.75" customHeight="1">
      <c r="A18" s="49"/>
      <c r="B18" s="49"/>
      <c r="C18" s="52"/>
      <c r="D18" s="52"/>
      <c r="E18" s="54"/>
      <c r="F18" s="49"/>
      <c r="G18" s="49"/>
      <c r="H18" s="49"/>
      <c r="I18" s="49"/>
      <c r="J18" s="49"/>
      <c r="K18" s="51"/>
      <c r="L18" s="106"/>
      <c r="M18" s="55"/>
      <c r="N18" s="55"/>
      <c r="O18" s="55"/>
      <c r="P18" s="55"/>
      <c r="Q18" s="49"/>
      <c r="R18" s="49"/>
      <c r="S18" s="48"/>
      <c r="T18" s="60"/>
      <c r="U18" s="52"/>
      <c r="V18" s="55"/>
      <c r="W18" s="54"/>
    </row>
    <row r="19" ht="15.75" customHeight="1">
      <c r="A19" s="49"/>
      <c r="B19" s="49"/>
      <c r="C19" s="52"/>
      <c r="D19" s="52"/>
      <c r="E19" s="54"/>
      <c r="F19" s="49"/>
      <c r="G19" s="49"/>
      <c r="H19" s="49"/>
      <c r="I19" s="49"/>
      <c r="J19" s="49"/>
      <c r="K19" s="51"/>
      <c r="L19" s="106"/>
      <c r="M19" s="55"/>
      <c r="N19" s="55"/>
      <c r="O19" s="55"/>
      <c r="P19" s="55"/>
      <c r="Q19" s="49"/>
      <c r="R19" s="49"/>
      <c r="S19" s="48"/>
      <c r="T19" s="60"/>
      <c r="U19" s="52"/>
      <c r="V19" s="55"/>
      <c r="W19" s="54"/>
    </row>
    <row r="20" ht="15.75" customHeight="1">
      <c r="A20" s="107" t="s">
        <v>54</v>
      </c>
      <c r="B20" s="108"/>
      <c r="C20" s="109"/>
      <c r="D20" s="109"/>
      <c r="E20" s="110"/>
      <c r="F20" s="108"/>
      <c r="G20" s="108"/>
      <c r="H20" s="108"/>
      <c r="I20" s="108"/>
      <c r="J20" s="108"/>
      <c r="K20" s="111"/>
      <c r="L20" s="108"/>
      <c r="M20" s="112"/>
      <c r="N20" s="112"/>
      <c r="O20" s="113">
        <f>SUM(O21:O39)</f>
        <v>0</v>
      </c>
      <c r="P20" s="112"/>
      <c r="Q20" s="108"/>
      <c r="R20" s="108"/>
      <c r="S20" s="108"/>
      <c r="T20" s="108"/>
      <c r="U20" s="114">
        <f t="shared" ref="U20:V20" si="4">SUM(U21:U39)</f>
        <v>0</v>
      </c>
      <c r="V20" s="113">
        <f t="shared" si="4"/>
        <v>0</v>
      </c>
      <c r="W20" s="115" t="str">
        <f>AVERAGE(W21:W39)</f>
        <v>#DIV/0!</v>
      </c>
    </row>
    <row r="21" ht="15.75" customHeight="1">
      <c r="A21" s="57"/>
      <c r="B21" s="57"/>
      <c r="C21" s="58"/>
      <c r="D21" s="58"/>
      <c r="E21" s="59"/>
      <c r="F21" s="57"/>
      <c r="G21" s="57"/>
      <c r="H21" s="57"/>
      <c r="I21" s="49"/>
      <c r="J21" s="49"/>
      <c r="K21" s="51"/>
      <c r="L21" s="106"/>
      <c r="M21" s="61"/>
      <c r="N21" s="61"/>
      <c r="O21" s="61"/>
      <c r="P21" s="61"/>
      <c r="Q21" s="57"/>
      <c r="R21" s="49"/>
      <c r="S21" s="56"/>
      <c r="T21" s="60"/>
      <c r="U21" s="52"/>
      <c r="V21" s="55"/>
      <c r="W21" s="54"/>
    </row>
    <row r="22" ht="15.75" customHeight="1">
      <c r="A22" s="49"/>
      <c r="B22" s="49"/>
      <c r="C22" s="52"/>
      <c r="D22" s="52"/>
      <c r="E22" s="54"/>
      <c r="F22" s="49"/>
      <c r="G22" s="49"/>
      <c r="H22" s="49"/>
      <c r="I22" s="49"/>
      <c r="J22" s="49"/>
      <c r="K22" s="51"/>
      <c r="L22" s="106"/>
      <c r="M22" s="55"/>
      <c r="N22" s="55"/>
      <c r="O22" s="55"/>
      <c r="P22" s="55"/>
      <c r="Q22" s="49"/>
      <c r="R22" s="49"/>
      <c r="S22" s="48"/>
      <c r="T22" s="60"/>
      <c r="U22" s="52"/>
      <c r="V22" s="55"/>
      <c r="W22" s="54"/>
    </row>
    <row r="23" ht="15.75" customHeight="1">
      <c r="A23" s="49"/>
      <c r="B23" s="49"/>
      <c r="C23" s="52"/>
      <c r="D23" s="52"/>
      <c r="E23" s="54"/>
      <c r="F23" s="49"/>
      <c r="G23" s="49"/>
      <c r="H23" s="49"/>
      <c r="I23" s="49"/>
      <c r="J23" s="49"/>
      <c r="K23" s="51"/>
      <c r="L23" s="106"/>
      <c r="M23" s="55"/>
      <c r="N23" s="55"/>
      <c r="O23" s="55"/>
      <c r="P23" s="55"/>
      <c r="Q23" s="49"/>
      <c r="R23" s="49"/>
      <c r="S23" s="48"/>
      <c r="T23" s="60"/>
      <c r="U23" s="52"/>
      <c r="V23" s="55"/>
      <c r="W23" s="54"/>
    </row>
    <row r="24" ht="15.75" customHeight="1">
      <c r="A24" s="49"/>
      <c r="B24" s="49"/>
      <c r="C24" s="52"/>
      <c r="D24" s="52"/>
      <c r="E24" s="54"/>
      <c r="F24" s="49"/>
      <c r="G24" s="49"/>
      <c r="H24" s="49"/>
      <c r="I24" s="49"/>
      <c r="J24" s="49"/>
      <c r="K24" s="51"/>
      <c r="L24" s="106"/>
      <c r="M24" s="55"/>
      <c r="N24" s="55"/>
      <c r="O24" s="55"/>
      <c r="P24" s="55"/>
      <c r="Q24" s="49"/>
      <c r="R24" s="49"/>
      <c r="S24" s="48"/>
      <c r="T24" s="60"/>
      <c r="U24" s="52"/>
      <c r="V24" s="55"/>
      <c r="W24" s="54"/>
    </row>
    <row r="25" ht="15.75" customHeight="1">
      <c r="A25" s="49"/>
      <c r="B25" s="49"/>
      <c r="C25" s="52"/>
      <c r="D25" s="52"/>
      <c r="E25" s="54"/>
      <c r="F25" s="49"/>
      <c r="G25" s="49"/>
      <c r="H25" s="49"/>
      <c r="I25" s="49"/>
      <c r="J25" s="49"/>
      <c r="K25" s="51"/>
      <c r="L25" s="106"/>
      <c r="M25" s="55"/>
      <c r="N25" s="55"/>
      <c r="O25" s="55"/>
      <c r="P25" s="55"/>
      <c r="Q25" s="49"/>
      <c r="R25" s="49"/>
      <c r="S25" s="48"/>
      <c r="T25" s="60"/>
      <c r="U25" s="52"/>
      <c r="V25" s="55"/>
      <c r="W25" s="54"/>
    </row>
    <row r="26" ht="15.75" customHeight="1">
      <c r="A26" s="57"/>
      <c r="B26" s="57"/>
      <c r="C26" s="58"/>
      <c r="D26" s="58"/>
      <c r="E26" s="59"/>
      <c r="F26" s="57"/>
      <c r="G26" s="57"/>
      <c r="H26" s="57"/>
      <c r="I26" s="49"/>
      <c r="J26" s="49"/>
      <c r="K26" s="51"/>
      <c r="L26" s="106"/>
      <c r="M26" s="61"/>
      <c r="N26" s="61"/>
      <c r="O26" s="61"/>
      <c r="P26" s="61"/>
      <c r="Q26" s="57"/>
      <c r="R26" s="49"/>
      <c r="S26" s="56"/>
      <c r="T26" s="60"/>
      <c r="U26" s="52"/>
      <c r="V26" s="55"/>
      <c r="W26" s="54"/>
    </row>
    <row r="27" ht="15.75" customHeight="1">
      <c r="A27" s="49"/>
      <c r="B27" s="49"/>
      <c r="C27" s="52"/>
      <c r="D27" s="52"/>
      <c r="E27" s="54"/>
      <c r="F27" s="49"/>
      <c r="G27" s="49"/>
      <c r="H27" s="49"/>
      <c r="I27" s="49"/>
      <c r="J27" s="49"/>
      <c r="K27" s="51"/>
      <c r="L27" s="106"/>
      <c r="M27" s="55"/>
      <c r="N27" s="55"/>
      <c r="O27" s="55"/>
      <c r="P27" s="55"/>
      <c r="Q27" s="49"/>
      <c r="R27" s="49"/>
      <c r="S27" s="48"/>
      <c r="T27" s="60"/>
      <c r="U27" s="52"/>
      <c r="V27" s="55"/>
      <c r="W27" s="54"/>
    </row>
    <row r="28" ht="15.75" customHeight="1">
      <c r="A28" s="49"/>
      <c r="B28" s="49"/>
      <c r="C28" s="52"/>
      <c r="D28" s="52"/>
      <c r="E28" s="54"/>
      <c r="F28" s="49"/>
      <c r="G28" s="49"/>
      <c r="H28" s="49"/>
      <c r="I28" s="49"/>
      <c r="J28" s="49"/>
      <c r="K28" s="51"/>
      <c r="L28" s="106"/>
      <c r="M28" s="55"/>
      <c r="N28" s="55"/>
      <c r="O28" s="55"/>
      <c r="P28" s="55"/>
      <c r="Q28" s="49"/>
      <c r="R28" s="49"/>
      <c r="S28" s="48"/>
      <c r="T28" s="60"/>
      <c r="U28" s="52"/>
      <c r="V28" s="55"/>
      <c r="W28" s="54"/>
    </row>
    <row r="29" ht="15.75" customHeight="1">
      <c r="A29" s="49"/>
      <c r="B29" s="49"/>
      <c r="C29" s="52"/>
      <c r="D29" s="52"/>
      <c r="E29" s="54"/>
      <c r="F29" s="49"/>
      <c r="G29" s="49"/>
      <c r="H29" s="49"/>
      <c r="I29" s="49"/>
      <c r="J29" s="49"/>
      <c r="K29" s="51"/>
      <c r="L29" s="106"/>
      <c r="M29" s="55"/>
      <c r="N29" s="55"/>
      <c r="O29" s="55"/>
      <c r="P29" s="55"/>
      <c r="Q29" s="49"/>
      <c r="R29" s="49"/>
      <c r="S29" s="48"/>
      <c r="T29" s="60"/>
      <c r="U29" s="52"/>
      <c r="V29" s="55"/>
      <c r="W29" s="54"/>
    </row>
    <row r="30" ht="15.75" customHeight="1">
      <c r="A30" s="49"/>
      <c r="B30" s="49"/>
      <c r="C30" s="52"/>
      <c r="D30" s="52"/>
      <c r="E30" s="54"/>
      <c r="F30" s="49"/>
      <c r="G30" s="49"/>
      <c r="H30" s="49"/>
      <c r="I30" s="49"/>
      <c r="J30" s="49"/>
      <c r="K30" s="51"/>
      <c r="L30" s="106"/>
      <c r="M30" s="55"/>
      <c r="N30" s="55"/>
      <c r="O30" s="55"/>
      <c r="P30" s="55"/>
      <c r="Q30" s="49"/>
      <c r="R30" s="49"/>
      <c r="S30" s="48"/>
      <c r="T30" s="60"/>
      <c r="U30" s="52"/>
      <c r="V30" s="55"/>
      <c r="W30" s="54"/>
    </row>
    <row r="31" ht="15.75" customHeight="1">
      <c r="A31" s="57"/>
      <c r="B31" s="57"/>
      <c r="C31" s="58"/>
      <c r="D31" s="58"/>
      <c r="E31" s="59"/>
      <c r="F31" s="57"/>
      <c r="G31" s="57"/>
      <c r="H31" s="57"/>
      <c r="I31" s="49"/>
      <c r="J31" s="49"/>
      <c r="K31" s="51"/>
      <c r="L31" s="106"/>
      <c r="M31" s="61"/>
      <c r="N31" s="61"/>
      <c r="O31" s="61"/>
      <c r="P31" s="61"/>
      <c r="Q31" s="57"/>
      <c r="R31" s="49"/>
      <c r="S31" s="56"/>
      <c r="T31" s="60"/>
      <c r="U31" s="52"/>
      <c r="V31" s="55"/>
      <c r="W31" s="54"/>
    </row>
    <row r="32" ht="15.75" customHeight="1">
      <c r="A32" s="49"/>
      <c r="B32" s="49"/>
      <c r="C32" s="52"/>
      <c r="D32" s="52"/>
      <c r="E32" s="54"/>
      <c r="F32" s="49"/>
      <c r="G32" s="49"/>
      <c r="H32" s="49"/>
      <c r="I32" s="49"/>
      <c r="J32" s="49"/>
      <c r="K32" s="51"/>
      <c r="L32" s="106"/>
      <c r="M32" s="55"/>
      <c r="N32" s="55"/>
      <c r="O32" s="55"/>
      <c r="P32" s="55"/>
      <c r="Q32" s="49"/>
      <c r="R32" s="49"/>
      <c r="S32" s="48"/>
      <c r="T32" s="60"/>
      <c r="U32" s="52"/>
      <c r="V32" s="55"/>
      <c r="W32" s="54"/>
    </row>
    <row r="33" ht="15.75" customHeight="1">
      <c r="A33" s="49"/>
      <c r="B33" s="49"/>
      <c r="C33" s="52"/>
      <c r="D33" s="52"/>
      <c r="E33" s="54"/>
      <c r="F33" s="49"/>
      <c r="G33" s="49"/>
      <c r="H33" s="49"/>
      <c r="I33" s="49"/>
      <c r="J33" s="49"/>
      <c r="K33" s="51"/>
      <c r="L33" s="106"/>
      <c r="M33" s="55"/>
      <c r="N33" s="55"/>
      <c r="O33" s="55"/>
      <c r="P33" s="55"/>
      <c r="Q33" s="49"/>
      <c r="R33" s="49"/>
      <c r="S33" s="48"/>
      <c r="T33" s="60"/>
      <c r="U33" s="52"/>
      <c r="V33" s="55"/>
      <c r="W33" s="54"/>
    </row>
    <row r="34" ht="15.75" customHeight="1">
      <c r="A34" s="49"/>
      <c r="B34" s="49"/>
      <c r="C34" s="52"/>
      <c r="D34" s="52"/>
      <c r="E34" s="54"/>
      <c r="F34" s="49"/>
      <c r="G34" s="49"/>
      <c r="H34" s="49"/>
      <c r="I34" s="49"/>
      <c r="J34" s="49"/>
      <c r="K34" s="51"/>
      <c r="L34" s="106"/>
      <c r="M34" s="55"/>
      <c r="N34" s="55"/>
      <c r="O34" s="55"/>
      <c r="P34" s="55"/>
      <c r="Q34" s="49"/>
      <c r="R34" s="49"/>
      <c r="S34" s="48"/>
      <c r="T34" s="60"/>
      <c r="U34" s="52"/>
      <c r="V34" s="55"/>
      <c r="W34" s="54"/>
    </row>
    <row r="35" ht="15.75" customHeight="1">
      <c r="A35" s="49"/>
      <c r="B35" s="49"/>
      <c r="C35" s="52"/>
      <c r="D35" s="52"/>
      <c r="E35" s="54"/>
      <c r="F35" s="49"/>
      <c r="G35" s="49"/>
      <c r="H35" s="49"/>
      <c r="I35" s="49"/>
      <c r="J35" s="49"/>
      <c r="K35" s="51"/>
      <c r="L35" s="106"/>
      <c r="M35" s="55"/>
      <c r="N35" s="55"/>
      <c r="O35" s="55"/>
      <c r="P35" s="55"/>
      <c r="Q35" s="49"/>
      <c r="R35" s="49"/>
      <c r="S35" s="48"/>
      <c r="T35" s="60"/>
      <c r="U35" s="52"/>
      <c r="V35" s="55"/>
      <c r="W35" s="54"/>
    </row>
    <row r="36" ht="15.75" customHeight="1">
      <c r="A36" s="57"/>
      <c r="B36" s="57"/>
      <c r="C36" s="58"/>
      <c r="D36" s="58"/>
      <c r="E36" s="59"/>
      <c r="F36" s="57"/>
      <c r="G36" s="57"/>
      <c r="H36" s="57"/>
      <c r="I36" s="49"/>
      <c r="J36" s="49"/>
      <c r="K36" s="51"/>
      <c r="L36" s="106"/>
      <c r="M36" s="61"/>
      <c r="N36" s="61"/>
      <c r="O36" s="61"/>
      <c r="P36" s="61"/>
      <c r="Q36" s="57"/>
      <c r="R36" s="49"/>
      <c r="S36" s="56"/>
      <c r="T36" s="60"/>
      <c r="U36" s="52"/>
      <c r="V36" s="55"/>
      <c r="W36" s="54"/>
    </row>
    <row r="37" ht="15.75" customHeight="1">
      <c r="A37" s="49"/>
      <c r="B37" s="49"/>
      <c r="C37" s="52"/>
      <c r="D37" s="52"/>
      <c r="E37" s="54"/>
      <c r="F37" s="49"/>
      <c r="G37" s="49"/>
      <c r="H37" s="49"/>
      <c r="I37" s="49"/>
      <c r="J37" s="49"/>
      <c r="K37" s="51"/>
      <c r="L37" s="106"/>
      <c r="M37" s="55"/>
      <c r="N37" s="55"/>
      <c r="O37" s="55"/>
      <c r="P37" s="55"/>
      <c r="Q37" s="49"/>
      <c r="R37" s="49"/>
      <c r="S37" s="48"/>
      <c r="T37" s="60"/>
      <c r="U37" s="52"/>
      <c r="V37" s="55"/>
      <c r="W37" s="54"/>
    </row>
    <row r="38" ht="15.75" customHeight="1">
      <c r="A38" s="49"/>
      <c r="B38" s="49"/>
      <c r="C38" s="52"/>
      <c r="D38" s="52"/>
      <c r="E38" s="54"/>
      <c r="F38" s="49"/>
      <c r="G38" s="49"/>
      <c r="H38" s="49"/>
      <c r="I38" s="49"/>
      <c r="J38" s="49"/>
      <c r="K38" s="51"/>
      <c r="L38" s="106"/>
      <c r="M38" s="55"/>
      <c r="N38" s="55"/>
      <c r="O38" s="55"/>
      <c r="P38" s="55"/>
      <c r="Q38" s="49"/>
      <c r="R38" s="49"/>
      <c r="S38" s="48"/>
      <c r="T38" s="60"/>
      <c r="U38" s="52"/>
      <c r="V38" s="55"/>
      <c r="W38" s="54"/>
    </row>
    <row r="39" ht="15.75" customHeight="1">
      <c r="A39" s="49"/>
      <c r="B39" s="49"/>
      <c r="C39" s="52"/>
      <c r="D39" s="52"/>
      <c r="E39" s="54"/>
      <c r="F39" s="49"/>
      <c r="G39" s="49"/>
      <c r="H39" s="49"/>
      <c r="I39" s="49"/>
      <c r="J39" s="49"/>
      <c r="K39" s="51"/>
      <c r="L39" s="106"/>
      <c r="M39" s="55"/>
      <c r="N39" s="55"/>
      <c r="O39" s="55"/>
      <c r="P39" s="55"/>
      <c r="Q39" s="49"/>
      <c r="R39" s="49"/>
      <c r="S39" s="48"/>
      <c r="T39" s="60"/>
      <c r="U39" s="52"/>
      <c r="V39" s="55"/>
      <c r="W39" s="54"/>
    </row>
    <row r="40" ht="15.75" customHeight="1">
      <c r="A40" s="107" t="s">
        <v>62</v>
      </c>
      <c r="B40" s="108"/>
      <c r="C40" s="109"/>
      <c r="D40" s="109"/>
      <c r="E40" s="110"/>
      <c r="F40" s="108"/>
      <c r="G40" s="108"/>
      <c r="H40" s="108"/>
      <c r="I40" s="108"/>
      <c r="J40" s="108"/>
      <c r="K40" s="111"/>
      <c r="L40" s="108"/>
      <c r="M40" s="112"/>
      <c r="N40" s="112"/>
      <c r="O40" s="113">
        <f>SUM(O41:O59)</f>
        <v>0</v>
      </c>
      <c r="P40" s="112"/>
      <c r="Q40" s="108"/>
      <c r="R40" s="108"/>
      <c r="S40" s="108"/>
      <c r="T40" s="108"/>
      <c r="U40" s="114">
        <f t="shared" ref="U40:V40" si="5">SUM(U41:U59)</f>
        <v>0</v>
      </c>
      <c r="V40" s="113">
        <f t="shared" si="5"/>
        <v>0</v>
      </c>
      <c r="W40" s="115" t="str">
        <f>AVERAGE(W41:W59)</f>
        <v>#DIV/0!</v>
      </c>
    </row>
    <row r="41" ht="15.75" customHeight="1">
      <c r="A41" s="57"/>
      <c r="B41" s="57"/>
      <c r="C41" s="58"/>
      <c r="D41" s="58"/>
      <c r="E41" s="59"/>
      <c r="F41" s="57"/>
      <c r="G41" s="57"/>
      <c r="H41" s="57"/>
      <c r="I41" s="49"/>
      <c r="J41" s="49"/>
      <c r="K41" s="51"/>
      <c r="L41" s="106"/>
      <c r="M41" s="61"/>
      <c r="N41" s="61"/>
      <c r="O41" s="61"/>
      <c r="P41" s="61"/>
      <c r="Q41" s="57"/>
      <c r="R41" s="49"/>
      <c r="S41" s="56"/>
      <c r="T41" s="60"/>
      <c r="U41" s="52"/>
      <c r="V41" s="55"/>
      <c r="W41" s="54"/>
    </row>
    <row r="42" ht="15.75" customHeight="1">
      <c r="A42" s="49"/>
      <c r="B42" s="49"/>
      <c r="C42" s="52"/>
      <c r="D42" s="52"/>
      <c r="E42" s="54"/>
      <c r="F42" s="49"/>
      <c r="G42" s="49"/>
      <c r="H42" s="49"/>
      <c r="I42" s="49"/>
      <c r="J42" s="49"/>
      <c r="K42" s="51"/>
      <c r="L42" s="106"/>
      <c r="M42" s="55"/>
      <c r="N42" s="55"/>
      <c r="O42" s="55"/>
      <c r="P42" s="55"/>
      <c r="Q42" s="49"/>
      <c r="R42" s="49"/>
      <c r="S42" s="48"/>
      <c r="T42" s="60"/>
      <c r="U42" s="52"/>
      <c r="V42" s="55"/>
      <c r="W42" s="54"/>
    </row>
    <row r="43" ht="15.75" customHeight="1">
      <c r="A43" s="49"/>
      <c r="B43" s="49"/>
      <c r="C43" s="52"/>
      <c r="D43" s="52"/>
      <c r="E43" s="54"/>
      <c r="F43" s="49"/>
      <c r="G43" s="49"/>
      <c r="H43" s="49"/>
      <c r="I43" s="49"/>
      <c r="J43" s="49"/>
      <c r="K43" s="51"/>
      <c r="L43" s="106"/>
      <c r="M43" s="55"/>
      <c r="N43" s="55"/>
      <c r="O43" s="55"/>
      <c r="P43" s="55"/>
      <c r="Q43" s="49"/>
      <c r="R43" s="49"/>
      <c r="S43" s="48"/>
      <c r="T43" s="60"/>
      <c r="U43" s="52"/>
      <c r="V43" s="55"/>
      <c r="W43" s="54"/>
    </row>
    <row r="44" ht="15.75" customHeight="1">
      <c r="A44" s="49"/>
      <c r="B44" s="49"/>
      <c r="C44" s="52"/>
      <c r="D44" s="52"/>
      <c r="E44" s="54"/>
      <c r="F44" s="49"/>
      <c r="G44" s="49"/>
      <c r="H44" s="49"/>
      <c r="I44" s="49"/>
      <c r="J44" s="49"/>
      <c r="K44" s="51"/>
      <c r="L44" s="106"/>
      <c r="M44" s="55"/>
      <c r="N44" s="55"/>
      <c r="O44" s="55"/>
      <c r="P44" s="55"/>
      <c r="Q44" s="49"/>
      <c r="R44" s="49"/>
      <c r="S44" s="48"/>
      <c r="T44" s="60"/>
      <c r="U44" s="52"/>
      <c r="V44" s="55"/>
      <c r="W44" s="54"/>
    </row>
    <row r="45" ht="15.75" customHeight="1">
      <c r="A45" s="49"/>
      <c r="B45" s="49"/>
      <c r="C45" s="52"/>
      <c r="D45" s="52"/>
      <c r="E45" s="54"/>
      <c r="F45" s="49"/>
      <c r="G45" s="49"/>
      <c r="H45" s="49"/>
      <c r="I45" s="49"/>
      <c r="J45" s="49"/>
      <c r="K45" s="51"/>
      <c r="L45" s="106"/>
      <c r="M45" s="55"/>
      <c r="N45" s="55"/>
      <c r="O45" s="55"/>
      <c r="P45" s="55"/>
      <c r="Q45" s="49"/>
      <c r="R45" s="49"/>
      <c r="S45" s="48"/>
      <c r="T45" s="60"/>
      <c r="U45" s="52"/>
      <c r="V45" s="55"/>
      <c r="W45" s="54"/>
    </row>
    <row r="46" ht="15.75" customHeight="1">
      <c r="A46" s="57"/>
      <c r="B46" s="57"/>
      <c r="C46" s="58"/>
      <c r="D46" s="58"/>
      <c r="E46" s="59"/>
      <c r="F46" s="57"/>
      <c r="G46" s="57"/>
      <c r="H46" s="57"/>
      <c r="I46" s="49"/>
      <c r="J46" s="49"/>
      <c r="K46" s="51"/>
      <c r="L46" s="106"/>
      <c r="M46" s="61"/>
      <c r="N46" s="61"/>
      <c r="O46" s="61"/>
      <c r="P46" s="61"/>
      <c r="Q46" s="57"/>
      <c r="R46" s="49"/>
      <c r="S46" s="56"/>
      <c r="T46" s="60"/>
      <c r="U46" s="52"/>
      <c r="V46" s="55"/>
      <c r="W46" s="54"/>
    </row>
    <row r="47" ht="15.75" customHeight="1">
      <c r="A47" s="49"/>
      <c r="B47" s="49"/>
      <c r="C47" s="52"/>
      <c r="D47" s="52"/>
      <c r="E47" s="54"/>
      <c r="F47" s="49"/>
      <c r="G47" s="49"/>
      <c r="H47" s="49"/>
      <c r="I47" s="49"/>
      <c r="J47" s="49"/>
      <c r="K47" s="51"/>
      <c r="L47" s="106"/>
      <c r="M47" s="55"/>
      <c r="N47" s="55"/>
      <c r="O47" s="55"/>
      <c r="P47" s="55"/>
      <c r="Q47" s="49"/>
      <c r="R47" s="49"/>
      <c r="S47" s="48"/>
      <c r="T47" s="60"/>
      <c r="U47" s="52"/>
      <c r="V47" s="55"/>
      <c r="W47" s="54"/>
    </row>
    <row r="48" ht="15.75" customHeight="1">
      <c r="A48" s="49"/>
      <c r="B48" s="49"/>
      <c r="C48" s="52"/>
      <c r="D48" s="52"/>
      <c r="E48" s="54"/>
      <c r="F48" s="49"/>
      <c r="G48" s="49"/>
      <c r="H48" s="49"/>
      <c r="I48" s="49"/>
      <c r="J48" s="49"/>
      <c r="K48" s="51"/>
      <c r="L48" s="106"/>
      <c r="M48" s="55"/>
      <c r="N48" s="55"/>
      <c r="O48" s="55"/>
      <c r="P48" s="55"/>
      <c r="Q48" s="49"/>
      <c r="R48" s="49"/>
      <c r="S48" s="48"/>
      <c r="T48" s="60"/>
      <c r="U48" s="52"/>
      <c r="V48" s="55"/>
      <c r="W48" s="54"/>
    </row>
    <row r="49" ht="15.75" customHeight="1">
      <c r="A49" s="49"/>
      <c r="B49" s="49"/>
      <c r="C49" s="52"/>
      <c r="D49" s="52"/>
      <c r="E49" s="54"/>
      <c r="F49" s="49"/>
      <c r="G49" s="49"/>
      <c r="H49" s="49"/>
      <c r="I49" s="49"/>
      <c r="J49" s="49"/>
      <c r="K49" s="51"/>
      <c r="L49" s="106"/>
      <c r="M49" s="55"/>
      <c r="N49" s="55"/>
      <c r="O49" s="55"/>
      <c r="P49" s="55"/>
      <c r="Q49" s="49"/>
      <c r="R49" s="49"/>
      <c r="S49" s="48"/>
      <c r="T49" s="60"/>
      <c r="U49" s="52"/>
      <c r="V49" s="55"/>
      <c r="W49" s="54"/>
    </row>
    <row r="50" ht="15.75" customHeight="1">
      <c r="A50" s="49"/>
      <c r="B50" s="49"/>
      <c r="C50" s="52"/>
      <c r="D50" s="52"/>
      <c r="E50" s="54"/>
      <c r="F50" s="49"/>
      <c r="G50" s="49"/>
      <c r="H50" s="49"/>
      <c r="I50" s="49"/>
      <c r="J50" s="49"/>
      <c r="K50" s="51"/>
      <c r="L50" s="106"/>
      <c r="M50" s="55"/>
      <c r="N50" s="55"/>
      <c r="O50" s="55"/>
      <c r="P50" s="55"/>
      <c r="Q50" s="49"/>
      <c r="R50" s="49"/>
      <c r="S50" s="48"/>
      <c r="T50" s="60"/>
      <c r="U50" s="52"/>
      <c r="V50" s="55"/>
      <c r="W50" s="54"/>
    </row>
    <row r="51" ht="15.75" customHeight="1">
      <c r="A51" s="57"/>
      <c r="B51" s="57"/>
      <c r="C51" s="58"/>
      <c r="D51" s="58"/>
      <c r="E51" s="59"/>
      <c r="F51" s="57"/>
      <c r="G51" s="57"/>
      <c r="H51" s="57"/>
      <c r="I51" s="49"/>
      <c r="J51" s="49"/>
      <c r="K51" s="51"/>
      <c r="L51" s="106"/>
      <c r="M51" s="61"/>
      <c r="N51" s="61"/>
      <c r="O51" s="61"/>
      <c r="P51" s="61"/>
      <c r="Q51" s="57"/>
      <c r="R51" s="49"/>
      <c r="S51" s="56"/>
      <c r="T51" s="60"/>
      <c r="U51" s="52"/>
      <c r="V51" s="55"/>
      <c r="W51" s="54"/>
    </row>
    <row r="52" ht="15.75" customHeight="1">
      <c r="A52" s="49"/>
      <c r="B52" s="49"/>
      <c r="C52" s="52"/>
      <c r="D52" s="52"/>
      <c r="E52" s="54"/>
      <c r="F52" s="49"/>
      <c r="G52" s="49"/>
      <c r="H52" s="49"/>
      <c r="I52" s="49"/>
      <c r="J52" s="49"/>
      <c r="K52" s="51"/>
      <c r="L52" s="106"/>
      <c r="M52" s="55"/>
      <c r="N52" s="55"/>
      <c r="O52" s="55"/>
      <c r="P52" s="55"/>
      <c r="Q52" s="49"/>
      <c r="R52" s="49"/>
      <c r="S52" s="48"/>
      <c r="T52" s="60"/>
      <c r="U52" s="52"/>
      <c r="V52" s="55"/>
      <c r="W52" s="54"/>
    </row>
    <row r="53" ht="15.75" customHeight="1">
      <c r="A53" s="49"/>
      <c r="B53" s="49"/>
      <c r="C53" s="52"/>
      <c r="D53" s="52"/>
      <c r="E53" s="54"/>
      <c r="F53" s="49"/>
      <c r="G53" s="49"/>
      <c r="H53" s="49"/>
      <c r="I53" s="49"/>
      <c r="J53" s="49"/>
      <c r="K53" s="51"/>
      <c r="L53" s="106"/>
      <c r="M53" s="55"/>
      <c r="N53" s="55"/>
      <c r="O53" s="55"/>
      <c r="P53" s="55"/>
      <c r="Q53" s="49"/>
      <c r="R53" s="49"/>
      <c r="S53" s="48"/>
      <c r="T53" s="60"/>
      <c r="U53" s="52"/>
      <c r="V53" s="55"/>
      <c r="W53" s="54"/>
    </row>
    <row r="54" ht="15.75" customHeight="1">
      <c r="A54" s="49"/>
      <c r="B54" s="49"/>
      <c r="C54" s="52"/>
      <c r="D54" s="52"/>
      <c r="E54" s="54"/>
      <c r="F54" s="49"/>
      <c r="G54" s="49"/>
      <c r="H54" s="49"/>
      <c r="I54" s="49"/>
      <c r="J54" s="49"/>
      <c r="K54" s="51"/>
      <c r="L54" s="106"/>
      <c r="M54" s="55"/>
      <c r="N54" s="55"/>
      <c r="O54" s="55"/>
      <c r="P54" s="55"/>
      <c r="Q54" s="49"/>
      <c r="R54" s="49"/>
      <c r="S54" s="48"/>
      <c r="T54" s="60"/>
      <c r="U54" s="52"/>
      <c r="V54" s="55"/>
      <c r="W54" s="54"/>
    </row>
    <row r="55" ht="15.75" customHeight="1">
      <c r="A55" s="49"/>
      <c r="B55" s="49"/>
      <c r="C55" s="52"/>
      <c r="D55" s="52"/>
      <c r="E55" s="54"/>
      <c r="F55" s="49"/>
      <c r="G55" s="49"/>
      <c r="H55" s="49"/>
      <c r="I55" s="49"/>
      <c r="J55" s="49"/>
      <c r="K55" s="51"/>
      <c r="L55" s="106"/>
      <c r="M55" s="55"/>
      <c r="N55" s="55"/>
      <c r="O55" s="55"/>
      <c r="P55" s="55"/>
      <c r="Q55" s="49"/>
      <c r="R55" s="49"/>
      <c r="S55" s="48"/>
      <c r="T55" s="120"/>
      <c r="U55" s="74"/>
      <c r="V55" s="76"/>
      <c r="W55" s="75"/>
    </row>
    <row r="56" ht="15.75" customHeight="1">
      <c r="A56" s="57"/>
      <c r="B56" s="57"/>
      <c r="C56" s="58"/>
      <c r="D56" s="58"/>
      <c r="E56" s="59"/>
      <c r="F56" s="57"/>
      <c r="G56" s="57"/>
      <c r="H56" s="57"/>
      <c r="I56" s="49"/>
      <c r="J56" s="49"/>
      <c r="K56" s="51"/>
      <c r="L56" s="106"/>
      <c r="M56" s="61"/>
      <c r="N56" s="61"/>
      <c r="O56" s="61"/>
      <c r="P56" s="61"/>
      <c r="Q56" s="57"/>
      <c r="R56" s="49"/>
      <c r="S56" s="56"/>
      <c r="T56" s="95"/>
      <c r="U56" s="45"/>
      <c r="V56" s="34"/>
      <c r="W56" s="50"/>
    </row>
    <row r="57" ht="15.75" customHeight="1">
      <c r="A57" s="49"/>
      <c r="B57" s="49"/>
      <c r="C57" s="52"/>
      <c r="D57" s="52"/>
      <c r="E57" s="54"/>
      <c r="F57" s="49"/>
      <c r="G57" s="49"/>
      <c r="H57" s="49"/>
      <c r="I57" s="49"/>
      <c r="J57" s="49"/>
      <c r="K57" s="51"/>
      <c r="L57" s="106"/>
      <c r="M57" s="55"/>
      <c r="N57" s="55"/>
      <c r="O57" s="55"/>
      <c r="P57" s="55"/>
      <c r="Q57" s="49"/>
      <c r="R57" s="49"/>
      <c r="S57" s="48"/>
      <c r="T57" s="95"/>
      <c r="U57" s="45"/>
      <c r="V57" s="34"/>
      <c r="W57" s="50"/>
    </row>
    <row r="58" ht="15.75" customHeight="1">
      <c r="A58" s="49"/>
      <c r="B58" s="49"/>
      <c r="C58" s="52"/>
      <c r="D58" s="52"/>
      <c r="E58" s="54"/>
      <c r="F58" s="49"/>
      <c r="G58" s="49"/>
      <c r="H58" s="49"/>
      <c r="I58" s="49"/>
      <c r="J58" s="49"/>
      <c r="K58" s="51"/>
      <c r="L58" s="106"/>
      <c r="M58" s="55"/>
      <c r="N58" s="55"/>
      <c r="O58" s="55"/>
      <c r="P58" s="55"/>
      <c r="Q58" s="49"/>
      <c r="R58" s="49"/>
      <c r="S58" s="48"/>
      <c r="T58" s="95"/>
      <c r="U58" s="45"/>
      <c r="V58" s="34"/>
      <c r="W58" s="50"/>
    </row>
    <row r="59" ht="15.75" customHeight="1">
      <c r="A59" s="49"/>
      <c r="B59" s="49"/>
      <c r="C59" s="52"/>
      <c r="D59" s="52"/>
      <c r="E59" s="54"/>
      <c r="F59" s="49"/>
      <c r="G59" s="49"/>
      <c r="H59" s="49"/>
      <c r="I59" s="49"/>
      <c r="J59" s="49"/>
      <c r="K59" s="51"/>
      <c r="L59" s="106"/>
      <c r="M59" s="55"/>
      <c r="N59" s="55"/>
      <c r="O59" s="55"/>
      <c r="P59" s="55"/>
      <c r="Q59" s="49"/>
      <c r="R59" s="49"/>
      <c r="S59" s="48"/>
      <c r="T59" s="95"/>
      <c r="U59" s="45"/>
      <c r="V59" s="34"/>
      <c r="W59" s="50"/>
    </row>
    <row r="60" ht="15.75" customHeight="1">
      <c r="A60" s="107" t="s">
        <v>64</v>
      </c>
      <c r="B60" s="108"/>
      <c r="C60" s="109"/>
      <c r="D60" s="109"/>
      <c r="E60" s="110"/>
      <c r="F60" s="108"/>
      <c r="G60" s="108"/>
      <c r="H60" s="108"/>
      <c r="I60" s="108"/>
      <c r="J60" s="108"/>
      <c r="K60" s="111"/>
      <c r="L60" s="108"/>
      <c r="M60" s="112"/>
      <c r="N60" s="112"/>
      <c r="O60" s="113">
        <f>SUM(O61:O79)</f>
        <v>0</v>
      </c>
      <c r="P60" s="112"/>
      <c r="Q60" s="108"/>
      <c r="R60" s="108"/>
      <c r="S60" s="108"/>
      <c r="T60" s="108"/>
      <c r="U60" s="114">
        <f t="shared" ref="U60:V60" si="6">SUM(U61:U79)</f>
        <v>0</v>
      </c>
      <c r="V60" s="113">
        <f t="shared" si="6"/>
        <v>0</v>
      </c>
      <c r="W60" s="115" t="str">
        <f>AVERAGE(W61:W79)</f>
        <v>#DIV/0!</v>
      </c>
    </row>
    <row r="61" ht="15.75" customHeight="1">
      <c r="A61" s="57"/>
      <c r="B61" s="57"/>
      <c r="C61" s="58"/>
      <c r="D61" s="58"/>
      <c r="E61" s="59"/>
      <c r="F61" s="57"/>
      <c r="G61" s="57"/>
      <c r="H61" s="57"/>
      <c r="I61" s="49"/>
      <c r="J61" s="49"/>
      <c r="K61" s="51"/>
      <c r="L61" s="106"/>
      <c r="M61" s="61"/>
      <c r="N61" s="61"/>
      <c r="O61" s="61"/>
      <c r="P61" s="61"/>
      <c r="Q61" s="57"/>
      <c r="R61" s="49"/>
      <c r="S61" s="56"/>
      <c r="T61" s="95"/>
      <c r="U61" s="45"/>
      <c r="V61" s="34"/>
      <c r="W61" s="50"/>
    </row>
    <row r="62" ht="15.75" customHeight="1">
      <c r="A62" s="49"/>
      <c r="B62" s="49"/>
      <c r="C62" s="52"/>
      <c r="D62" s="52"/>
      <c r="E62" s="54"/>
      <c r="F62" s="49"/>
      <c r="G62" s="49"/>
      <c r="H62" s="49"/>
      <c r="I62" s="49"/>
      <c r="J62" s="49"/>
      <c r="K62" s="51"/>
      <c r="L62" s="106"/>
      <c r="M62" s="55"/>
      <c r="N62" s="55"/>
      <c r="O62" s="55"/>
      <c r="P62" s="55"/>
      <c r="Q62" s="49"/>
      <c r="R62" s="49"/>
      <c r="S62" s="48"/>
      <c r="T62" s="95"/>
      <c r="U62" s="45"/>
      <c r="V62" s="34"/>
      <c r="W62" s="50"/>
    </row>
    <row r="63" ht="15.75" customHeight="1">
      <c r="A63" s="49"/>
      <c r="B63" s="49"/>
      <c r="C63" s="52"/>
      <c r="D63" s="52"/>
      <c r="E63" s="54"/>
      <c r="F63" s="49"/>
      <c r="G63" s="49"/>
      <c r="H63" s="49"/>
      <c r="I63" s="49"/>
      <c r="J63" s="49"/>
      <c r="K63" s="51"/>
      <c r="L63" s="106"/>
      <c r="M63" s="55"/>
      <c r="N63" s="55"/>
      <c r="O63" s="55"/>
      <c r="P63" s="55"/>
      <c r="Q63" s="49"/>
      <c r="R63" s="49"/>
      <c r="S63" s="48"/>
      <c r="T63" s="95"/>
      <c r="U63" s="45"/>
      <c r="V63" s="34"/>
      <c r="W63" s="50"/>
    </row>
    <row r="64" ht="15.75" customHeight="1">
      <c r="A64" s="49"/>
      <c r="B64" s="49"/>
      <c r="C64" s="52"/>
      <c r="D64" s="52"/>
      <c r="E64" s="54"/>
      <c r="F64" s="49"/>
      <c r="G64" s="49"/>
      <c r="H64" s="49"/>
      <c r="I64" s="49"/>
      <c r="J64" s="49"/>
      <c r="K64" s="51"/>
      <c r="L64" s="106"/>
      <c r="M64" s="55"/>
      <c r="N64" s="55"/>
      <c r="O64" s="55"/>
      <c r="P64" s="55"/>
      <c r="Q64" s="49"/>
      <c r="R64" s="49"/>
      <c r="S64" s="48"/>
      <c r="T64" s="95"/>
      <c r="U64" s="45"/>
      <c r="V64" s="34"/>
      <c r="W64" s="50"/>
    </row>
    <row r="65" ht="15.75" customHeight="1">
      <c r="A65" s="49"/>
      <c r="B65" s="49"/>
      <c r="C65" s="52"/>
      <c r="D65" s="52"/>
      <c r="E65" s="54"/>
      <c r="F65" s="49"/>
      <c r="G65" s="49"/>
      <c r="H65" s="49"/>
      <c r="I65" s="49"/>
      <c r="J65" s="49"/>
      <c r="K65" s="51"/>
      <c r="L65" s="106"/>
      <c r="M65" s="55"/>
      <c r="N65" s="55"/>
      <c r="O65" s="55"/>
      <c r="P65" s="55"/>
      <c r="Q65" s="49"/>
      <c r="R65" s="49"/>
      <c r="S65" s="48"/>
      <c r="T65" s="95"/>
      <c r="U65" s="45"/>
      <c r="V65" s="34"/>
      <c r="W65" s="50"/>
    </row>
    <row r="66" ht="15.75" customHeight="1">
      <c r="A66" s="73"/>
      <c r="B66" s="73"/>
      <c r="C66" s="74"/>
      <c r="D66" s="74"/>
      <c r="E66" s="75"/>
      <c r="F66" s="73"/>
      <c r="G66" s="73"/>
      <c r="H66" s="73"/>
      <c r="I66" s="49"/>
      <c r="J66" s="49"/>
      <c r="K66" s="51"/>
      <c r="L66" s="106"/>
      <c r="M66" s="76"/>
      <c r="N66" s="76"/>
      <c r="O66" s="76"/>
      <c r="P66" s="76"/>
      <c r="Q66" s="77"/>
      <c r="R66" s="49"/>
      <c r="S66" s="72"/>
      <c r="T66" s="95"/>
      <c r="U66" s="45"/>
      <c r="V66" s="34"/>
      <c r="W66" s="50"/>
    </row>
    <row r="67" ht="15.75" customHeight="1">
      <c r="A67" s="28"/>
      <c r="B67" s="28"/>
      <c r="C67" s="45"/>
      <c r="D67" s="45"/>
      <c r="E67" s="50"/>
      <c r="F67" s="28"/>
      <c r="G67" s="28"/>
      <c r="H67" s="28"/>
      <c r="I67" s="49"/>
      <c r="J67" s="49"/>
      <c r="K67" s="51"/>
      <c r="L67" s="106"/>
      <c r="M67" s="34"/>
      <c r="N67" s="34"/>
      <c r="O67" s="34"/>
      <c r="P67" s="34"/>
      <c r="Q67" s="28"/>
      <c r="R67" s="49"/>
      <c r="S67" s="1"/>
      <c r="T67" s="95"/>
      <c r="U67" s="45"/>
      <c r="V67" s="34"/>
      <c r="W67" s="50"/>
    </row>
    <row r="68" ht="15.75" customHeight="1">
      <c r="A68" s="28"/>
      <c r="B68" s="28"/>
      <c r="C68" s="45"/>
      <c r="D68" s="45"/>
      <c r="E68" s="50"/>
      <c r="F68" s="28"/>
      <c r="G68" s="28"/>
      <c r="H68" s="28"/>
      <c r="I68" s="49"/>
      <c r="J68" s="49"/>
      <c r="K68" s="51"/>
      <c r="L68" s="106"/>
      <c r="M68" s="34"/>
      <c r="N68" s="34"/>
      <c r="O68" s="34"/>
      <c r="P68" s="34"/>
      <c r="Q68" s="28"/>
      <c r="R68" s="49"/>
      <c r="S68" s="1"/>
      <c r="T68" s="95"/>
      <c r="U68" s="45"/>
      <c r="V68" s="34"/>
      <c r="W68" s="50"/>
    </row>
    <row r="69" ht="15.75" customHeight="1">
      <c r="A69" s="28"/>
      <c r="B69" s="28"/>
      <c r="C69" s="45"/>
      <c r="D69" s="45"/>
      <c r="E69" s="50"/>
      <c r="F69" s="28"/>
      <c r="G69" s="28"/>
      <c r="H69" s="28"/>
      <c r="I69" s="49"/>
      <c r="J69" s="49"/>
      <c r="K69" s="51"/>
      <c r="L69" s="106"/>
      <c r="M69" s="34"/>
      <c r="N69" s="34"/>
      <c r="O69" s="34"/>
      <c r="P69" s="34"/>
      <c r="Q69" s="28"/>
      <c r="R69" s="49"/>
      <c r="S69" s="1"/>
      <c r="T69" s="95"/>
      <c r="U69" s="45"/>
      <c r="V69" s="34"/>
      <c r="W69" s="50"/>
    </row>
    <row r="70" ht="15.75" customHeight="1">
      <c r="A70" s="28"/>
      <c r="B70" s="28"/>
      <c r="C70" s="45"/>
      <c r="D70" s="45"/>
      <c r="E70" s="50"/>
      <c r="F70" s="28"/>
      <c r="G70" s="28"/>
      <c r="H70" s="28"/>
      <c r="I70" s="49"/>
      <c r="J70" s="49"/>
      <c r="K70" s="51"/>
      <c r="L70" s="106"/>
      <c r="M70" s="34"/>
      <c r="N70" s="34"/>
      <c r="O70" s="34"/>
      <c r="P70" s="34"/>
      <c r="Q70" s="28"/>
      <c r="R70" s="49"/>
      <c r="S70" s="1"/>
      <c r="T70" s="95"/>
      <c r="U70" s="45"/>
      <c r="V70" s="34"/>
      <c r="W70" s="50"/>
    </row>
    <row r="71" ht="15.75" customHeight="1">
      <c r="A71" s="28"/>
      <c r="B71" s="28"/>
      <c r="C71" s="45"/>
      <c r="D71" s="45"/>
      <c r="E71" s="50"/>
      <c r="F71" s="28"/>
      <c r="G71" s="28"/>
      <c r="H71" s="28"/>
      <c r="I71" s="49"/>
      <c r="J71" s="49"/>
      <c r="K71" s="51"/>
      <c r="L71" s="106"/>
      <c r="M71" s="34"/>
      <c r="N71" s="34"/>
      <c r="O71" s="34"/>
      <c r="P71" s="34"/>
      <c r="Q71" s="28"/>
      <c r="R71" s="49"/>
      <c r="S71" s="1"/>
      <c r="T71" s="95"/>
      <c r="U71" s="45"/>
      <c r="V71" s="34"/>
      <c r="W71" s="50"/>
    </row>
    <row r="72" ht="15.75" customHeight="1">
      <c r="A72" s="28"/>
      <c r="B72" s="28"/>
      <c r="C72" s="45"/>
      <c r="D72" s="45"/>
      <c r="E72" s="50"/>
      <c r="F72" s="28"/>
      <c r="G72" s="28"/>
      <c r="H72" s="28"/>
      <c r="I72" s="49"/>
      <c r="J72" s="49"/>
      <c r="K72" s="51"/>
      <c r="L72" s="106"/>
      <c r="M72" s="34"/>
      <c r="N72" s="34"/>
      <c r="O72" s="34"/>
      <c r="P72" s="34"/>
      <c r="Q72" s="28"/>
      <c r="R72" s="49"/>
      <c r="S72" s="1"/>
      <c r="T72" s="95"/>
      <c r="U72" s="45"/>
      <c r="V72" s="34"/>
      <c r="W72" s="50"/>
    </row>
    <row r="73" ht="15.75" customHeight="1">
      <c r="A73" s="28"/>
      <c r="B73" s="28"/>
      <c r="C73" s="45"/>
      <c r="D73" s="45"/>
      <c r="E73" s="50"/>
      <c r="F73" s="28"/>
      <c r="G73" s="28"/>
      <c r="H73" s="28"/>
      <c r="I73" s="49"/>
      <c r="J73" s="49"/>
      <c r="K73" s="51"/>
      <c r="L73" s="106"/>
      <c r="M73" s="34"/>
      <c r="N73" s="34"/>
      <c r="O73" s="34"/>
      <c r="P73" s="34"/>
      <c r="Q73" s="28"/>
      <c r="R73" s="49"/>
      <c r="S73" s="1"/>
      <c r="T73" s="95"/>
      <c r="U73" s="45"/>
      <c r="V73" s="34"/>
      <c r="W73" s="50"/>
    </row>
    <row r="74" ht="15.75" customHeight="1">
      <c r="A74" s="28"/>
      <c r="B74" s="28"/>
      <c r="C74" s="45"/>
      <c r="D74" s="45"/>
      <c r="E74" s="50"/>
      <c r="F74" s="28"/>
      <c r="G74" s="28"/>
      <c r="H74" s="28"/>
      <c r="I74" s="49"/>
      <c r="J74" s="49"/>
      <c r="K74" s="51"/>
      <c r="L74" s="106"/>
      <c r="M74" s="34"/>
      <c r="N74" s="34"/>
      <c r="O74" s="34"/>
      <c r="P74" s="34"/>
      <c r="Q74" s="28"/>
      <c r="R74" s="49"/>
      <c r="S74" s="1"/>
      <c r="T74" s="95"/>
      <c r="U74" s="45"/>
      <c r="V74" s="34"/>
      <c r="W74" s="50"/>
    </row>
    <row r="75" ht="15.75" customHeight="1">
      <c r="A75" s="28"/>
      <c r="B75" s="28"/>
      <c r="C75" s="45"/>
      <c r="D75" s="45"/>
      <c r="E75" s="50"/>
      <c r="F75" s="28"/>
      <c r="G75" s="28"/>
      <c r="H75" s="28"/>
      <c r="I75" s="49"/>
      <c r="J75" s="49"/>
      <c r="K75" s="51"/>
      <c r="L75" s="106"/>
      <c r="M75" s="34"/>
      <c r="N75" s="34"/>
      <c r="O75" s="34"/>
      <c r="P75" s="34"/>
      <c r="Q75" s="28"/>
      <c r="R75" s="49"/>
      <c r="S75" s="1"/>
      <c r="T75" s="95"/>
      <c r="U75" s="45"/>
      <c r="V75" s="34"/>
      <c r="W75" s="50"/>
    </row>
    <row r="76" ht="15.75" customHeight="1">
      <c r="A76" s="28"/>
      <c r="B76" s="28"/>
      <c r="C76" s="45"/>
      <c r="D76" s="45"/>
      <c r="E76" s="50"/>
      <c r="F76" s="28"/>
      <c r="G76" s="28"/>
      <c r="H76" s="28"/>
      <c r="I76" s="49"/>
      <c r="J76" s="49"/>
      <c r="K76" s="51"/>
      <c r="L76" s="106"/>
      <c r="M76" s="34"/>
      <c r="N76" s="34"/>
      <c r="O76" s="34"/>
      <c r="P76" s="34"/>
      <c r="Q76" s="28"/>
      <c r="R76" s="49"/>
      <c r="S76" s="1"/>
      <c r="T76" s="95"/>
      <c r="U76" s="45"/>
      <c r="V76" s="34"/>
      <c r="W76" s="50"/>
    </row>
    <row r="77" ht="15.75" customHeight="1">
      <c r="A77" s="28"/>
      <c r="B77" s="28"/>
      <c r="C77" s="45"/>
      <c r="D77" s="45"/>
      <c r="E77" s="50"/>
      <c r="F77" s="28"/>
      <c r="G77" s="28"/>
      <c r="H77" s="28"/>
      <c r="I77" s="49"/>
      <c r="J77" s="49"/>
      <c r="K77" s="51"/>
      <c r="L77" s="106"/>
      <c r="M77" s="34"/>
      <c r="N77" s="34"/>
      <c r="O77" s="34"/>
      <c r="P77" s="34"/>
      <c r="Q77" s="28"/>
      <c r="R77" s="49"/>
      <c r="S77" s="1"/>
      <c r="T77" s="95"/>
      <c r="U77" s="45"/>
      <c r="V77" s="34"/>
      <c r="W77" s="50"/>
    </row>
    <row r="78" ht="15.75" customHeight="1">
      <c r="A78" s="28"/>
      <c r="B78" s="28"/>
      <c r="C78" s="45"/>
      <c r="D78" s="45"/>
      <c r="E78" s="50"/>
      <c r="F78" s="28"/>
      <c r="G78" s="28"/>
      <c r="H78" s="28"/>
      <c r="I78" s="49"/>
      <c r="J78" s="49"/>
      <c r="K78" s="51"/>
      <c r="L78" s="106"/>
      <c r="M78" s="34"/>
      <c r="N78" s="34"/>
      <c r="O78" s="34"/>
      <c r="P78" s="34"/>
      <c r="Q78" s="28"/>
      <c r="R78" s="49"/>
      <c r="S78" s="1"/>
      <c r="T78" s="95"/>
      <c r="U78" s="45"/>
      <c r="V78" s="34"/>
      <c r="W78" s="50"/>
    </row>
    <row r="79" ht="15.75" customHeight="1">
      <c r="A79" s="28"/>
      <c r="B79" s="28"/>
      <c r="C79" s="45"/>
      <c r="D79" s="45"/>
      <c r="E79" s="50"/>
      <c r="F79" s="28"/>
      <c r="G79" s="28"/>
      <c r="H79" s="28"/>
      <c r="I79" s="49"/>
      <c r="J79" s="49"/>
      <c r="K79" s="51"/>
      <c r="L79" s="106"/>
      <c r="M79" s="34"/>
      <c r="N79" s="34"/>
      <c r="O79" s="34"/>
      <c r="P79" s="34"/>
      <c r="Q79" s="28"/>
      <c r="R79" s="49"/>
      <c r="S79" s="1"/>
      <c r="T79" s="95"/>
      <c r="U79" s="45"/>
      <c r="V79" s="34"/>
      <c r="W79" s="50"/>
    </row>
    <row r="80" ht="15.75" customHeight="1">
      <c r="A80" s="107" t="s">
        <v>66</v>
      </c>
      <c r="B80" s="108"/>
      <c r="C80" s="109"/>
      <c r="D80" s="109"/>
      <c r="E80" s="110"/>
      <c r="F80" s="108"/>
      <c r="G80" s="108"/>
      <c r="H80" s="108"/>
      <c r="I80" s="108"/>
      <c r="J80" s="108"/>
      <c r="K80" s="111"/>
      <c r="L80" s="108"/>
      <c r="M80" s="112"/>
      <c r="N80" s="112"/>
      <c r="O80" s="113">
        <f>SUM(O81:O99)</f>
        <v>0</v>
      </c>
      <c r="P80" s="112"/>
      <c r="Q80" s="108"/>
      <c r="R80" s="108"/>
      <c r="S80" s="108"/>
      <c r="T80" s="108"/>
      <c r="U80" s="114">
        <f t="shared" ref="U80:V80" si="7">SUM(U81:U99)</f>
        <v>0</v>
      </c>
      <c r="V80" s="113">
        <f t="shared" si="7"/>
        <v>0</v>
      </c>
      <c r="W80" s="115" t="str">
        <f>AVERAGE(W81:W99)</f>
        <v>#DIV/0!</v>
      </c>
    </row>
    <row r="81" ht="15.75" customHeight="1">
      <c r="A81" s="28"/>
      <c r="B81" s="28"/>
      <c r="C81" s="45"/>
      <c r="D81" s="45"/>
      <c r="E81" s="50"/>
      <c r="F81" s="28"/>
      <c r="G81" s="28"/>
      <c r="H81" s="28"/>
      <c r="I81" s="49"/>
      <c r="J81" s="49"/>
      <c r="K81" s="51"/>
      <c r="L81" s="106"/>
      <c r="M81" s="34"/>
      <c r="N81" s="34"/>
      <c r="O81" s="34"/>
      <c r="P81" s="34"/>
      <c r="Q81" s="28"/>
      <c r="R81" s="49"/>
      <c r="S81" s="1"/>
      <c r="T81" s="95"/>
      <c r="U81" s="45"/>
      <c r="V81" s="34"/>
      <c r="W81" s="50"/>
    </row>
    <row r="82" ht="15.75" customHeight="1">
      <c r="A82" s="28"/>
      <c r="B82" s="28"/>
      <c r="C82" s="45"/>
      <c r="D82" s="45"/>
      <c r="E82" s="50"/>
      <c r="F82" s="28"/>
      <c r="G82" s="28"/>
      <c r="H82" s="28"/>
      <c r="I82" s="49"/>
      <c r="J82" s="49"/>
      <c r="K82" s="51"/>
      <c r="L82" s="106"/>
      <c r="M82" s="34"/>
      <c r="N82" s="34"/>
      <c r="O82" s="34"/>
      <c r="P82" s="34"/>
      <c r="Q82" s="28"/>
      <c r="R82" s="49"/>
      <c r="S82" s="1"/>
      <c r="T82" s="95"/>
      <c r="U82" s="45"/>
      <c r="V82" s="34"/>
      <c r="W82" s="50"/>
    </row>
    <row r="83" ht="15.75" customHeight="1">
      <c r="A83" s="28"/>
      <c r="B83" s="28"/>
      <c r="C83" s="45"/>
      <c r="D83" s="45"/>
      <c r="E83" s="50"/>
      <c r="F83" s="28"/>
      <c r="G83" s="28"/>
      <c r="H83" s="28"/>
      <c r="I83" s="49"/>
      <c r="J83" s="49"/>
      <c r="K83" s="51"/>
      <c r="L83" s="106"/>
      <c r="M83" s="34"/>
      <c r="N83" s="34"/>
      <c r="O83" s="34"/>
      <c r="P83" s="34"/>
      <c r="Q83" s="28"/>
      <c r="R83" s="49"/>
      <c r="S83" s="1"/>
      <c r="T83" s="95"/>
      <c r="U83" s="45"/>
      <c r="V83" s="34"/>
      <c r="W83" s="50"/>
    </row>
    <row r="84" ht="15.75" customHeight="1">
      <c r="A84" s="28"/>
      <c r="B84" s="28"/>
      <c r="C84" s="45"/>
      <c r="D84" s="45"/>
      <c r="E84" s="50"/>
      <c r="F84" s="28"/>
      <c r="G84" s="28"/>
      <c r="H84" s="28"/>
      <c r="I84" s="49"/>
      <c r="J84" s="49"/>
      <c r="K84" s="51"/>
      <c r="L84" s="106"/>
      <c r="M84" s="34"/>
      <c r="N84" s="34"/>
      <c r="O84" s="34"/>
      <c r="P84" s="34"/>
      <c r="Q84" s="28"/>
      <c r="R84" s="49"/>
      <c r="S84" s="1"/>
      <c r="T84" s="95"/>
      <c r="U84" s="45"/>
      <c r="V84" s="34"/>
      <c r="W84" s="50"/>
    </row>
    <row r="85" ht="15.75" customHeight="1">
      <c r="A85" s="28"/>
      <c r="B85" s="28"/>
      <c r="C85" s="45"/>
      <c r="D85" s="45"/>
      <c r="E85" s="50"/>
      <c r="F85" s="28"/>
      <c r="G85" s="28"/>
      <c r="H85" s="28"/>
      <c r="I85" s="49"/>
      <c r="J85" s="49"/>
      <c r="K85" s="51"/>
      <c r="L85" s="106"/>
      <c r="M85" s="34"/>
      <c r="N85" s="34"/>
      <c r="O85" s="34"/>
      <c r="P85" s="34"/>
      <c r="Q85" s="28"/>
      <c r="R85" s="49"/>
      <c r="S85" s="1"/>
      <c r="T85" s="95"/>
      <c r="U85" s="45"/>
      <c r="V85" s="34"/>
      <c r="W85" s="50"/>
    </row>
    <row r="86" ht="15.75" customHeight="1">
      <c r="A86" s="28"/>
      <c r="B86" s="28"/>
      <c r="C86" s="45"/>
      <c r="D86" s="45"/>
      <c r="E86" s="50"/>
      <c r="F86" s="28"/>
      <c r="G86" s="28"/>
      <c r="H86" s="28"/>
      <c r="I86" s="49"/>
      <c r="J86" s="49"/>
      <c r="K86" s="51"/>
      <c r="L86" s="106"/>
      <c r="M86" s="34"/>
      <c r="N86" s="34"/>
      <c r="O86" s="34"/>
      <c r="P86" s="34"/>
      <c r="Q86" s="28"/>
      <c r="R86" s="49"/>
      <c r="S86" s="1"/>
      <c r="T86" s="95"/>
      <c r="U86" s="45"/>
      <c r="V86" s="34"/>
      <c r="W86" s="50"/>
    </row>
    <row r="87" ht="15.75" customHeight="1">
      <c r="A87" s="28"/>
      <c r="B87" s="28"/>
      <c r="C87" s="45"/>
      <c r="D87" s="45"/>
      <c r="E87" s="50"/>
      <c r="F87" s="28"/>
      <c r="G87" s="28"/>
      <c r="H87" s="28"/>
      <c r="I87" s="49"/>
      <c r="J87" s="49"/>
      <c r="K87" s="51"/>
      <c r="L87" s="106"/>
      <c r="M87" s="34"/>
      <c r="N87" s="34"/>
      <c r="O87" s="34"/>
      <c r="P87" s="34"/>
      <c r="Q87" s="28"/>
      <c r="R87" s="49"/>
      <c r="S87" s="1"/>
      <c r="T87" s="95"/>
      <c r="U87" s="45"/>
      <c r="V87" s="34"/>
      <c r="W87" s="50"/>
    </row>
    <row r="88" ht="15.75" customHeight="1">
      <c r="A88" s="28"/>
      <c r="B88" s="28"/>
      <c r="C88" s="45"/>
      <c r="D88" s="45"/>
      <c r="E88" s="50"/>
      <c r="F88" s="28"/>
      <c r="G88" s="28"/>
      <c r="H88" s="28"/>
      <c r="I88" s="49"/>
      <c r="J88" s="49"/>
      <c r="K88" s="51"/>
      <c r="L88" s="106"/>
      <c r="M88" s="34"/>
      <c r="N88" s="34"/>
      <c r="O88" s="34"/>
      <c r="P88" s="34"/>
      <c r="Q88" s="28"/>
      <c r="R88" s="49"/>
      <c r="S88" s="1"/>
      <c r="T88" s="95"/>
      <c r="U88" s="45"/>
      <c r="V88" s="34"/>
      <c r="W88" s="50"/>
    </row>
    <row r="89" ht="15.75" customHeight="1">
      <c r="A89" s="28"/>
      <c r="B89" s="28"/>
      <c r="C89" s="45"/>
      <c r="D89" s="45"/>
      <c r="E89" s="50"/>
      <c r="F89" s="28"/>
      <c r="G89" s="28"/>
      <c r="H89" s="28"/>
      <c r="I89" s="49"/>
      <c r="J89" s="49"/>
      <c r="K89" s="51"/>
      <c r="L89" s="106"/>
      <c r="M89" s="34"/>
      <c r="N89" s="34"/>
      <c r="O89" s="34"/>
      <c r="P89" s="34"/>
      <c r="Q89" s="28"/>
      <c r="R89" s="49"/>
      <c r="S89" s="1"/>
      <c r="T89" s="95"/>
      <c r="U89" s="45"/>
      <c r="V89" s="34"/>
      <c r="W89" s="50"/>
    </row>
    <row r="90" ht="15.75" customHeight="1">
      <c r="A90" s="28"/>
      <c r="B90" s="28"/>
      <c r="C90" s="45"/>
      <c r="D90" s="45"/>
      <c r="E90" s="50"/>
      <c r="F90" s="28"/>
      <c r="G90" s="28"/>
      <c r="H90" s="28"/>
      <c r="I90" s="49"/>
      <c r="J90" s="49"/>
      <c r="K90" s="51"/>
      <c r="L90" s="106"/>
      <c r="M90" s="34"/>
      <c r="N90" s="34"/>
      <c r="O90" s="34"/>
      <c r="P90" s="34"/>
      <c r="Q90" s="28"/>
      <c r="R90" s="49"/>
      <c r="S90" s="1"/>
      <c r="T90" s="95"/>
      <c r="U90" s="45"/>
      <c r="V90" s="34"/>
      <c r="W90" s="50"/>
    </row>
    <row r="91" ht="15.75" customHeight="1">
      <c r="A91" s="28"/>
      <c r="B91" s="28"/>
      <c r="C91" s="45"/>
      <c r="D91" s="45"/>
      <c r="E91" s="50"/>
      <c r="F91" s="28"/>
      <c r="G91" s="28"/>
      <c r="H91" s="28"/>
      <c r="I91" s="49"/>
      <c r="J91" s="49"/>
      <c r="K91" s="51"/>
      <c r="L91" s="106"/>
      <c r="M91" s="34"/>
      <c r="N91" s="34"/>
      <c r="O91" s="34"/>
      <c r="P91" s="34"/>
      <c r="Q91" s="28"/>
      <c r="R91" s="49"/>
      <c r="S91" s="1"/>
      <c r="T91" s="95"/>
      <c r="U91" s="45"/>
      <c r="V91" s="34"/>
      <c r="W91" s="50"/>
    </row>
    <row r="92" ht="15.75" customHeight="1">
      <c r="A92" s="28"/>
      <c r="B92" s="28"/>
      <c r="C92" s="45"/>
      <c r="D92" s="45"/>
      <c r="E92" s="50"/>
      <c r="F92" s="28"/>
      <c r="G92" s="28"/>
      <c r="H92" s="28"/>
      <c r="I92" s="49"/>
      <c r="J92" s="49"/>
      <c r="K92" s="51"/>
      <c r="L92" s="106"/>
      <c r="M92" s="34"/>
      <c r="N92" s="34"/>
      <c r="O92" s="34"/>
      <c r="P92" s="34"/>
      <c r="Q92" s="28"/>
      <c r="R92" s="49"/>
      <c r="S92" s="1"/>
      <c r="T92" s="95"/>
      <c r="U92" s="45"/>
      <c r="V92" s="34"/>
      <c r="W92" s="50"/>
    </row>
    <row r="93" ht="15.75" customHeight="1">
      <c r="A93" s="28"/>
      <c r="B93" s="28"/>
      <c r="C93" s="45"/>
      <c r="D93" s="45"/>
      <c r="E93" s="50"/>
      <c r="F93" s="28"/>
      <c r="G93" s="28"/>
      <c r="H93" s="28"/>
      <c r="I93" s="49"/>
      <c r="J93" s="49"/>
      <c r="K93" s="51"/>
      <c r="L93" s="106"/>
      <c r="M93" s="34"/>
      <c r="N93" s="34"/>
      <c r="O93" s="34"/>
      <c r="P93" s="34"/>
      <c r="Q93" s="28"/>
      <c r="R93" s="49"/>
      <c r="S93" s="1"/>
      <c r="T93" s="95"/>
      <c r="U93" s="45"/>
      <c r="V93" s="34"/>
      <c r="W93" s="50"/>
    </row>
    <row r="94" ht="15.75" customHeight="1">
      <c r="A94" s="28"/>
      <c r="B94" s="28"/>
      <c r="C94" s="45"/>
      <c r="D94" s="45"/>
      <c r="E94" s="50"/>
      <c r="F94" s="28"/>
      <c r="G94" s="28"/>
      <c r="H94" s="28"/>
      <c r="I94" s="49"/>
      <c r="J94" s="49"/>
      <c r="K94" s="80"/>
      <c r="L94" s="106"/>
      <c r="M94" s="34"/>
      <c r="N94" s="34"/>
      <c r="O94" s="34"/>
      <c r="P94" s="34"/>
      <c r="Q94" s="28"/>
      <c r="R94" s="49"/>
      <c r="S94" s="1"/>
      <c r="T94" s="95"/>
      <c r="U94" s="45"/>
      <c r="V94" s="34"/>
      <c r="W94" s="50"/>
    </row>
    <row r="95" ht="15.75" customHeight="1">
      <c r="A95" s="28"/>
      <c r="B95" s="28"/>
      <c r="C95" s="45"/>
      <c r="D95" s="45"/>
      <c r="E95" s="50"/>
      <c r="F95" s="28"/>
      <c r="G95" s="28"/>
      <c r="H95" s="28"/>
      <c r="I95" s="49"/>
      <c r="J95" s="49"/>
      <c r="K95" s="80"/>
      <c r="L95" s="106"/>
      <c r="M95" s="34"/>
      <c r="N95" s="34"/>
      <c r="O95" s="34"/>
      <c r="P95" s="34"/>
      <c r="Q95" s="28"/>
      <c r="R95" s="49"/>
      <c r="S95" s="1"/>
      <c r="T95" s="95"/>
      <c r="U95" s="45"/>
      <c r="V95" s="34"/>
      <c r="W95" s="50"/>
    </row>
    <row r="96" ht="15.75" customHeight="1">
      <c r="A96" s="28"/>
      <c r="B96" s="28"/>
      <c r="C96" s="45"/>
      <c r="D96" s="45"/>
      <c r="E96" s="50"/>
      <c r="F96" s="28"/>
      <c r="G96" s="28"/>
      <c r="H96" s="28"/>
      <c r="I96" s="49"/>
      <c r="J96" s="49"/>
      <c r="K96" s="80"/>
      <c r="L96" s="106"/>
      <c r="M96" s="34"/>
      <c r="N96" s="34"/>
      <c r="O96" s="34"/>
      <c r="P96" s="34"/>
      <c r="Q96" s="28"/>
      <c r="R96" s="49"/>
      <c r="S96" s="1"/>
      <c r="T96" s="95"/>
      <c r="U96" s="45"/>
      <c r="V96" s="34"/>
      <c r="W96" s="50"/>
    </row>
    <row r="97" ht="15.75" customHeight="1">
      <c r="A97" s="28"/>
      <c r="B97" s="28"/>
      <c r="C97" s="45"/>
      <c r="D97" s="45"/>
      <c r="E97" s="50"/>
      <c r="F97" s="28"/>
      <c r="G97" s="28"/>
      <c r="H97" s="28"/>
      <c r="I97" s="49"/>
      <c r="J97" s="49"/>
      <c r="K97" s="80"/>
      <c r="L97" s="106"/>
      <c r="M97" s="34"/>
      <c r="N97" s="34"/>
      <c r="O97" s="34"/>
      <c r="P97" s="34"/>
      <c r="Q97" s="28"/>
      <c r="R97" s="49"/>
      <c r="S97" s="1"/>
      <c r="T97" s="95"/>
      <c r="U97" s="45"/>
      <c r="V97" s="34"/>
      <c r="W97" s="50"/>
    </row>
    <row r="98" ht="15.75" customHeight="1">
      <c r="A98" s="28"/>
      <c r="B98" s="28"/>
      <c r="C98" s="45"/>
      <c r="D98" s="45"/>
      <c r="E98" s="50"/>
      <c r="F98" s="28"/>
      <c r="G98" s="28"/>
      <c r="H98" s="28"/>
      <c r="I98" s="49"/>
      <c r="J98" s="49"/>
      <c r="K98" s="80"/>
      <c r="L98" s="106"/>
      <c r="M98" s="34"/>
      <c r="N98" s="34"/>
      <c r="O98" s="34"/>
      <c r="P98" s="34"/>
      <c r="Q98" s="28"/>
      <c r="R98" s="49"/>
      <c r="S98" s="1"/>
      <c r="T98" s="95"/>
      <c r="U98" s="45"/>
      <c r="V98" s="34"/>
      <c r="W98" s="50"/>
    </row>
    <row r="99" ht="15.75" customHeight="1">
      <c r="A99" s="28"/>
      <c r="B99" s="28"/>
      <c r="C99" s="45"/>
      <c r="D99" s="45"/>
      <c r="E99" s="50"/>
      <c r="F99" s="28"/>
      <c r="G99" s="28"/>
      <c r="H99" s="28"/>
      <c r="I99" s="49"/>
      <c r="J99" s="49"/>
      <c r="K99" s="80"/>
      <c r="L99" s="106"/>
      <c r="M99" s="34"/>
      <c r="N99" s="34"/>
      <c r="O99" s="34"/>
      <c r="P99" s="34"/>
      <c r="Q99" s="28"/>
      <c r="R99" s="49"/>
      <c r="S99" s="1"/>
      <c r="T99" s="95"/>
      <c r="U99" s="45"/>
      <c r="V99" s="34"/>
      <c r="W99" s="50"/>
    </row>
    <row r="100" ht="15.75" customHeight="1">
      <c r="A100" s="107" t="s">
        <v>67</v>
      </c>
      <c r="B100" s="108"/>
      <c r="C100" s="109"/>
      <c r="D100" s="109"/>
      <c r="E100" s="110"/>
      <c r="F100" s="108"/>
      <c r="G100" s="108"/>
      <c r="H100" s="108"/>
      <c r="I100" s="108"/>
      <c r="J100" s="108"/>
      <c r="K100" s="111"/>
      <c r="L100" s="108"/>
      <c r="M100" s="112"/>
      <c r="N100" s="112"/>
      <c r="O100" s="113">
        <f>SUM(O101:O119)</f>
        <v>0</v>
      </c>
      <c r="P100" s="112"/>
      <c r="Q100" s="108"/>
      <c r="R100" s="108"/>
      <c r="S100" s="108"/>
      <c r="T100" s="108"/>
      <c r="U100" s="114">
        <f t="shared" ref="U100:V100" si="8">SUM(U101:U119)</f>
        <v>0</v>
      </c>
      <c r="V100" s="113">
        <f t="shared" si="8"/>
        <v>0</v>
      </c>
      <c r="W100" s="115" t="str">
        <f>AVERAGE(W101:W119)</f>
        <v>#DIV/0!</v>
      </c>
    </row>
    <row r="101" ht="15.75" customHeight="1">
      <c r="A101" s="28"/>
      <c r="B101" s="28"/>
      <c r="C101" s="45"/>
      <c r="D101" s="45"/>
      <c r="E101" s="50"/>
      <c r="F101" s="28"/>
      <c r="G101" s="28"/>
      <c r="H101" s="28"/>
      <c r="I101" s="49"/>
      <c r="J101" s="49"/>
      <c r="K101" s="80"/>
      <c r="L101" s="106"/>
      <c r="M101" s="34"/>
      <c r="N101" s="34"/>
      <c r="O101" s="34"/>
      <c r="P101" s="34"/>
      <c r="Q101" s="28"/>
      <c r="R101" s="49"/>
      <c r="S101" s="1"/>
      <c r="T101" s="95"/>
      <c r="U101" s="45"/>
      <c r="V101" s="34"/>
      <c r="W101" s="50"/>
    </row>
    <row r="102" ht="15.75" customHeight="1">
      <c r="A102" s="28"/>
      <c r="B102" s="28"/>
      <c r="C102" s="45"/>
      <c r="D102" s="45"/>
      <c r="E102" s="50"/>
      <c r="F102" s="28"/>
      <c r="G102" s="28"/>
      <c r="H102" s="28"/>
      <c r="I102" s="49"/>
      <c r="J102" s="49"/>
      <c r="K102" s="80"/>
      <c r="L102" s="106"/>
      <c r="M102" s="34"/>
      <c r="N102" s="34"/>
      <c r="O102" s="34"/>
      <c r="P102" s="34"/>
      <c r="Q102" s="28"/>
      <c r="R102" s="49"/>
      <c r="S102" s="1"/>
      <c r="T102" s="95"/>
      <c r="U102" s="45"/>
      <c r="V102" s="34"/>
      <c r="W102" s="50"/>
    </row>
    <row r="103" ht="15.75" customHeight="1">
      <c r="A103" s="28"/>
      <c r="B103" s="28"/>
      <c r="C103" s="45"/>
      <c r="D103" s="45"/>
      <c r="E103" s="50"/>
      <c r="F103" s="28"/>
      <c r="G103" s="28"/>
      <c r="H103" s="28"/>
      <c r="I103" s="49"/>
      <c r="J103" s="49"/>
      <c r="K103" s="80"/>
      <c r="L103" s="106"/>
      <c r="M103" s="34"/>
      <c r="N103" s="34"/>
      <c r="O103" s="34"/>
      <c r="P103" s="34"/>
      <c r="Q103" s="28"/>
      <c r="R103" s="49"/>
      <c r="S103" s="1"/>
      <c r="T103" s="95"/>
      <c r="U103" s="45"/>
      <c r="V103" s="34"/>
      <c r="W103" s="50"/>
    </row>
    <row r="104" ht="15.75" customHeight="1">
      <c r="A104" s="28"/>
      <c r="B104" s="28"/>
      <c r="C104" s="45"/>
      <c r="D104" s="45"/>
      <c r="E104" s="50"/>
      <c r="F104" s="28"/>
      <c r="G104" s="28"/>
      <c r="H104" s="28"/>
      <c r="I104" s="49"/>
      <c r="J104" s="49"/>
      <c r="K104" s="80"/>
      <c r="L104" s="106"/>
      <c r="M104" s="34"/>
      <c r="N104" s="34"/>
      <c r="O104" s="34"/>
      <c r="P104" s="34"/>
      <c r="Q104" s="28"/>
      <c r="R104" s="49"/>
      <c r="S104" s="1"/>
      <c r="T104" s="95"/>
      <c r="U104" s="45"/>
      <c r="V104" s="34"/>
      <c r="W104" s="50"/>
    </row>
    <row r="105" ht="15.75" customHeight="1">
      <c r="A105" s="28"/>
      <c r="B105" s="28"/>
      <c r="C105" s="45"/>
      <c r="D105" s="45"/>
      <c r="E105" s="50"/>
      <c r="F105" s="28"/>
      <c r="G105" s="28"/>
      <c r="H105" s="28"/>
      <c r="I105" s="49"/>
      <c r="J105" s="49"/>
      <c r="K105" s="80"/>
      <c r="L105" s="106"/>
      <c r="M105" s="34"/>
      <c r="N105" s="34"/>
      <c r="O105" s="34"/>
      <c r="P105" s="34"/>
      <c r="Q105" s="28"/>
      <c r="R105" s="49"/>
      <c r="S105" s="1"/>
      <c r="T105" s="95"/>
      <c r="U105" s="45"/>
      <c r="V105" s="34"/>
      <c r="W105" s="50"/>
    </row>
    <row r="106" ht="15.75" customHeight="1">
      <c r="A106" s="28"/>
      <c r="B106" s="28"/>
      <c r="C106" s="45"/>
      <c r="D106" s="45"/>
      <c r="E106" s="50"/>
      <c r="F106" s="28"/>
      <c r="G106" s="28"/>
      <c r="H106" s="28"/>
      <c r="I106" s="49"/>
      <c r="J106" s="49"/>
      <c r="K106" s="80"/>
      <c r="L106" s="106"/>
      <c r="M106" s="34"/>
      <c r="N106" s="34"/>
      <c r="O106" s="34"/>
      <c r="P106" s="34"/>
      <c r="Q106" s="28"/>
      <c r="R106" s="49"/>
      <c r="S106" s="1"/>
      <c r="T106" s="95"/>
      <c r="U106" s="45"/>
      <c r="V106" s="34"/>
      <c r="W106" s="50"/>
    </row>
    <row r="107" ht="15.75" customHeight="1">
      <c r="A107" s="28"/>
      <c r="B107" s="28"/>
      <c r="C107" s="45"/>
      <c r="D107" s="45"/>
      <c r="E107" s="50"/>
      <c r="F107" s="28"/>
      <c r="G107" s="28"/>
      <c r="H107" s="28"/>
      <c r="I107" s="49"/>
      <c r="J107" s="49"/>
      <c r="K107" s="80"/>
      <c r="L107" s="106"/>
      <c r="M107" s="34"/>
      <c r="N107" s="34"/>
      <c r="O107" s="34"/>
      <c r="P107" s="34"/>
      <c r="Q107" s="28"/>
      <c r="R107" s="49"/>
      <c r="S107" s="1"/>
      <c r="T107" s="95"/>
      <c r="U107" s="45"/>
      <c r="V107" s="34"/>
      <c r="W107" s="50"/>
    </row>
    <row r="108" ht="15.75" customHeight="1">
      <c r="A108" s="28"/>
      <c r="B108" s="28"/>
      <c r="C108" s="45"/>
      <c r="D108" s="45"/>
      <c r="E108" s="50"/>
      <c r="F108" s="28"/>
      <c r="G108" s="28"/>
      <c r="H108" s="28"/>
      <c r="I108" s="49"/>
      <c r="J108" s="49"/>
      <c r="K108" s="80"/>
      <c r="L108" s="106"/>
      <c r="M108" s="34"/>
      <c r="N108" s="34"/>
      <c r="O108" s="34"/>
      <c r="P108" s="34"/>
      <c r="Q108" s="28"/>
      <c r="R108" s="49"/>
      <c r="S108" s="1"/>
      <c r="T108" s="95"/>
      <c r="U108" s="45"/>
      <c r="V108" s="34"/>
      <c r="W108" s="50"/>
    </row>
    <row r="109" ht="15.75" customHeight="1">
      <c r="A109" s="28"/>
      <c r="B109" s="28"/>
      <c r="C109" s="45"/>
      <c r="D109" s="45"/>
      <c r="E109" s="50"/>
      <c r="F109" s="28"/>
      <c r="G109" s="28"/>
      <c r="H109" s="28"/>
      <c r="I109" s="49"/>
      <c r="J109" s="49"/>
      <c r="K109" s="80"/>
      <c r="L109" s="106"/>
      <c r="M109" s="34"/>
      <c r="N109" s="34"/>
      <c r="O109" s="34"/>
      <c r="P109" s="34"/>
      <c r="Q109" s="28"/>
      <c r="R109" s="49"/>
      <c r="S109" s="1"/>
      <c r="T109" s="95"/>
      <c r="U109" s="45"/>
      <c r="V109" s="34"/>
      <c r="W109" s="50"/>
    </row>
    <row r="110" ht="15.75" customHeight="1">
      <c r="A110" s="28"/>
      <c r="B110" s="28"/>
      <c r="C110" s="45"/>
      <c r="D110" s="45"/>
      <c r="E110" s="50"/>
      <c r="F110" s="28"/>
      <c r="G110" s="28"/>
      <c r="H110" s="28"/>
      <c r="I110" s="49"/>
      <c r="J110" s="49"/>
      <c r="K110" s="80"/>
      <c r="L110" s="106"/>
      <c r="M110" s="34"/>
      <c r="N110" s="34"/>
      <c r="O110" s="34"/>
      <c r="P110" s="34"/>
      <c r="Q110" s="28"/>
      <c r="R110" s="49"/>
      <c r="S110" s="1"/>
      <c r="T110" s="95"/>
      <c r="U110" s="45"/>
      <c r="V110" s="34"/>
      <c r="W110" s="50"/>
    </row>
    <row r="111" ht="15.75" customHeight="1">
      <c r="A111" s="28"/>
      <c r="B111" s="28"/>
      <c r="C111" s="45"/>
      <c r="D111" s="45"/>
      <c r="E111" s="50"/>
      <c r="F111" s="28"/>
      <c r="G111" s="28"/>
      <c r="H111" s="28"/>
      <c r="I111" s="49"/>
      <c r="J111" s="49"/>
      <c r="K111" s="80"/>
      <c r="L111" s="106"/>
      <c r="M111" s="34"/>
      <c r="N111" s="34"/>
      <c r="O111" s="34"/>
      <c r="P111" s="34"/>
      <c r="Q111" s="28"/>
      <c r="R111" s="49"/>
      <c r="S111" s="1"/>
      <c r="T111" s="95"/>
      <c r="U111" s="45"/>
      <c r="V111" s="34"/>
      <c r="W111" s="50"/>
    </row>
    <row r="112" ht="15.75" customHeight="1">
      <c r="A112" s="28"/>
      <c r="B112" s="28"/>
      <c r="C112" s="45"/>
      <c r="D112" s="45"/>
      <c r="E112" s="50"/>
      <c r="F112" s="28"/>
      <c r="G112" s="28"/>
      <c r="H112" s="28"/>
      <c r="I112" s="49"/>
      <c r="J112" s="49"/>
      <c r="K112" s="80"/>
      <c r="L112" s="106"/>
      <c r="M112" s="34"/>
      <c r="N112" s="34"/>
      <c r="O112" s="34"/>
      <c r="P112" s="34"/>
      <c r="Q112" s="28"/>
      <c r="R112" s="49"/>
      <c r="S112" s="1"/>
      <c r="T112" s="95"/>
      <c r="U112" s="45"/>
      <c r="V112" s="34"/>
      <c r="W112" s="50"/>
    </row>
    <row r="113" ht="15.75" customHeight="1">
      <c r="A113" s="28"/>
      <c r="B113" s="28"/>
      <c r="C113" s="45"/>
      <c r="D113" s="45"/>
      <c r="E113" s="50"/>
      <c r="F113" s="28"/>
      <c r="G113" s="28"/>
      <c r="H113" s="28"/>
      <c r="I113" s="49"/>
      <c r="J113" s="49"/>
      <c r="K113" s="80"/>
      <c r="L113" s="106"/>
      <c r="M113" s="34"/>
      <c r="N113" s="34"/>
      <c r="O113" s="34"/>
      <c r="P113" s="34"/>
      <c r="Q113" s="28"/>
      <c r="R113" s="49"/>
      <c r="S113" s="1"/>
      <c r="T113" s="95"/>
      <c r="U113" s="45"/>
      <c r="V113" s="34"/>
      <c r="W113" s="50"/>
    </row>
    <row r="114" ht="15.75" customHeight="1">
      <c r="A114" s="28"/>
      <c r="B114" s="28"/>
      <c r="C114" s="45"/>
      <c r="D114" s="45"/>
      <c r="E114" s="50"/>
      <c r="F114" s="28"/>
      <c r="G114" s="28"/>
      <c r="H114" s="28"/>
      <c r="I114" s="49"/>
      <c r="J114" s="49"/>
      <c r="K114" s="80"/>
      <c r="L114" s="106"/>
      <c r="M114" s="34"/>
      <c r="N114" s="34"/>
      <c r="O114" s="34"/>
      <c r="P114" s="34"/>
      <c r="Q114" s="28"/>
      <c r="R114" s="49"/>
      <c r="S114" s="1"/>
      <c r="T114" s="95"/>
      <c r="U114" s="45"/>
      <c r="V114" s="34"/>
      <c r="W114" s="50"/>
    </row>
    <row r="115" ht="15.75" customHeight="1">
      <c r="A115" s="28"/>
      <c r="B115" s="28"/>
      <c r="C115" s="45"/>
      <c r="D115" s="45"/>
      <c r="E115" s="50"/>
      <c r="F115" s="28"/>
      <c r="G115" s="28"/>
      <c r="H115" s="28"/>
      <c r="I115" s="49"/>
      <c r="J115" s="49"/>
      <c r="K115" s="80"/>
      <c r="L115" s="106"/>
      <c r="M115" s="34"/>
      <c r="N115" s="34"/>
      <c r="O115" s="34"/>
      <c r="P115" s="34"/>
      <c r="Q115" s="28"/>
      <c r="R115" s="49"/>
      <c r="S115" s="1"/>
      <c r="T115" s="95"/>
      <c r="U115" s="45"/>
      <c r="V115" s="34"/>
      <c r="W115" s="50"/>
    </row>
    <row r="116" ht="15.75" customHeight="1">
      <c r="A116" s="28"/>
      <c r="B116" s="28"/>
      <c r="C116" s="45"/>
      <c r="D116" s="45"/>
      <c r="E116" s="50"/>
      <c r="F116" s="28"/>
      <c r="G116" s="28"/>
      <c r="H116" s="28"/>
      <c r="I116" s="49"/>
      <c r="J116" s="49"/>
      <c r="K116" s="80"/>
      <c r="L116" s="106"/>
      <c r="M116" s="34"/>
      <c r="N116" s="34"/>
      <c r="O116" s="34"/>
      <c r="P116" s="34"/>
      <c r="Q116" s="28"/>
      <c r="R116" s="49"/>
      <c r="S116" s="1"/>
      <c r="T116" s="95"/>
      <c r="U116" s="45"/>
      <c r="V116" s="34"/>
      <c r="W116" s="50"/>
    </row>
    <row r="117" ht="15.75" customHeight="1">
      <c r="A117" s="28"/>
      <c r="B117" s="28"/>
      <c r="C117" s="45"/>
      <c r="D117" s="45"/>
      <c r="E117" s="50"/>
      <c r="F117" s="28"/>
      <c r="G117" s="28"/>
      <c r="H117" s="28"/>
      <c r="I117" s="49"/>
      <c r="J117" s="49"/>
      <c r="K117" s="80"/>
      <c r="L117" s="106"/>
      <c r="M117" s="34"/>
      <c r="N117" s="34"/>
      <c r="O117" s="34"/>
      <c r="P117" s="34"/>
      <c r="Q117" s="28"/>
      <c r="R117" s="49"/>
      <c r="S117" s="1"/>
      <c r="T117" s="95"/>
      <c r="U117" s="45"/>
      <c r="V117" s="34"/>
      <c r="W117" s="50"/>
    </row>
    <row r="118" ht="15.75" customHeight="1">
      <c r="A118" s="28"/>
      <c r="B118" s="28"/>
      <c r="C118" s="45"/>
      <c r="D118" s="45"/>
      <c r="E118" s="50"/>
      <c r="F118" s="28"/>
      <c r="G118" s="28"/>
      <c r="H118" s="28"/>
      <c r="I118" s="49"/>
      <c r="J118" s="49"/>
      <c r="K118" s="80"/>
      <c r="L118" s="106"/>
      <c r="M118" s="34"/>
      <c r="N118" s="34"/>
      <c r="O118" s="34"/>
      <c r="P118" s="34"/>
      <c r="Q118" s="28"/>
      <c r="R118" s="49"/>
      <c r="S118" s="1"/>
      <c r="T118" s="95"/>
      <c r="U118" s="45"/>
      <c r="V118" s="34"/>
      <c r="W118" s="50"/>
    </row>
    <row r="119" ht="15.75" customHeight="1">
      <c r="A119" s="28"/>
      <c r="B119" s="28"/>
      <c r="C119" s="45"/>
      <c r="D119" s="45"/>
      <c r="E119" s="50"/>
      <c r="F119" s="28"/>
      <c r="G119" s="28"/>
      <c r="H119" s="28"/>
      <c r="I119" s="49"/>
      <c r="J119" s="49"/>
      <c r="K119" s="80"/>
      <c r="L119" s="106"/>
      <c r="M119" s="34"/>
      <c r="N119" s="34"/>
      <c r="O119" s="34"/>
      <c r="P119" s="34"/>
      <c r="Q119" s="28"/>
      <c r="R119" s="49"/>
      <c r="S119" s="1"/>
      <c r="T119" s="95"/>
      <c r="U119" s="45"/>
      <c r="V119" s="34"/>
      <c r="W119" s="50"/>
    </row>
    <row r="120" ht="15.75" customHeight="1">
      <c r="A120" s="107" t="s">
        <v>68</v>
      </c>
      <c r="B120" s="108"/>
      <c r="C120" s="109"/>
      <c r="D120" s="109"/>
      <c r="E120" s="110"/>
      <c r="F120" s="108"/>
      <c r="G120" s="108"/>
      <c r="H120" s="108"/>
      <c r="I120" s="108"/>
      <c r="J120" s="108"/>
      <c r="K120" s="111"/>
      <c r="L120" s="108"/>
      <c r="M120" s="112"/>
      <c r="N120" s="112"/>
      <c r="O120" s="113">
        <f>SUM(O121:O139)</f>
        <v>0</v>
      </c>
      <c r="P120" s="112"/>
      <c r="Q120" s="108"/>
      <c r="R120" s="108"/>
      <c r="S120" s="108"/>
      <c r="T120" s="108"/>
      <c r="U120" s="114">
        <f t="shared" ref="U120:V120" si="9">SUM(U121:U139)</f>
        <v>0</v>
      </c>
      <c r="V120" s="113">
        <f t="shared" si="9"/>
        <v>0</v>
      </c>
      <c r="W120" s="115" t="str">
        <f>AVERAGE(W121:W139)</f>
        <v>#DIV/0!</v>
      </c>
    </row>
    <row r="121" ht="15.75" customHeight="1">
      <c r="A121" s="28"/>
      <c r="B121" s="28"/>
      <c r="C121" s="45"/>
      <c r="D121" s="45"/>
      <c r="E121" s="50"/>
      <c r="F121" s="28"/>
      <c r="G121" s="28"/>
      <c r="H121" s="28"/>
      <c r="I121" s="49"/>
      <c r="J121" s="49"/>
      <c r="K121" s="80"/>
      <c r="L121" s="106"/>
      <c r="M121" s="34"/>
      <c r="N121" s="34"/>
      <c r="O121" s="34"/>
      <c r="P121" s="34"/>
      <c r="Q121" s="28"/>
      <c r="R121" s="49"/>
      <c r="S121" s="1"/>
      <c r="T121" s="95"/>
      <c r="U121" s="45"/>
      <c r="V121" s="34"/>
      <c r="W121" s="50"/>
    </row>
    <row r="122" ht="15.75" customHeight="1">
      <c r="A122" s="28"/>
      <c r="B122" s="28"/>
      <c r="C122" s="45"/>
      <c r="D122" s="45"/>
      <c r="E122" s="50"/>
      <c r="F122" s="28"/>
      <c r="G122" s="28"/>
      <c r="H122" s="28"/>
      <c r="I122" s="49"/>
      <c r="J122" s="49"/>
      <c r="K122" s="80"/>
      <c r="L122" s="106"/>
      <c r="M122" s="34"/>
      <c r="N122" s="34"/>
      <c r="O122" s="34"/>
      <c r="P122" s="34"/>
      <c r="Q122" s="28"/>
      <c r="R122" s="49"/>
      <c r="S122" s="1"/>
      <c r="T122" s="95"/>
      <c r="U122" s="45"/>
      <c r="V122" s="34"/>
      <c r="W122" s="50"/>
    </row>
    <row r="123" ht="15.75" customHeight="1">
      <c r="A123" s="28"/>
      <c r="B123" s="28"/>
      <c r="C123" s="45"/>
      <c r="D123" s="45"/>
      <c r="E123" s="50"/>
      <c r="F123" s="28"/>
      <c r="G123" s="28"/>
      <c r="H123" s="28"/>
      <c r="I123" s="49"/>
      <c r="J123" s="49"/>
      <c r="K123" s="80"/>
      <c r="L123" s="106"/>
      <c r="M123" s="34"/>
      <c r="N123" s="34"/>
      <c r="O123" s="34"/>
      <c r="P123" s="34"/>
      <c r="Q123" s="28"/>
      <c r="R123" s="49"/>
      <c r="S123" s="1"/>
      <c r="T123" s="95"/>
      <c r="U123" s="45"/>
      <c r="V123" s="34"/>
      <c r="W123" s="50"/>
    </row>
    <row r="124" ht="15.75" customHeight="1">
      <c r="A124" s="28"/>
      <c r="B124" s="28"/>
      <c r="C124" s="45"/>
      <c r="D124" s="45"/>
      <c r="E124" s="50"/>
      <c r="F124" s="28"/>
      <c r="G124" s="28"/>
      <c r="H124" s="28"/>
      <c r="I124" s="49"/>
      <c r="J124" s="49"/>
      <c r="K124" s="80"/>
      <c r="L124" s="106"/>
      <c r="M124" s="34"/>
      <c r="N124" s="34"/>
      <c r="O124" s="34"/>
      <c r="P124" s="34"/>
      <c r="Q124" s="28"/>
      <c r="R124" s="49"/>
      <c r="S124" s="1"/>
      <c r="T124" s="95"/>
      <c r="U124" s="45"/>
      <c r="V124" s="34"/>
      <c r="W124" s="50"/>
    </row>
    <row r="125" ht="15.75" customHeight="1">
      <c r="A125" s="28"/>
      <c r="B125" s="28"/>
      <c r="C125" s="45"/>
      <c r="D125" s="45"/>
      <c r="E125" s="50"/>
      <c r="F125" s="28"/>
      <c r="G125" s="28"/>
      <c r="H125" s="28"/>
      <c r="I125" s="49"/>
      <c r="J125" s="49"/>
      <c r="K125" s="80"/>
      <c r="L125" s="106"/>
      <c r="M125" s="34"/>
      <c r="N125" s="34"/>
      <c r="O125" s="34"/>
      <c r="P125" s="34"/>
      <c r="Q125" s="28"/>
      <c r="R125" s="49"/>
      <c r="S125" s="1"/>
      <c r="T125" s="95"/>
      <c r="U125" s="45"/>
      <c r="V125" s="34"/>
      <c r="W125" s="50"/>
    </row>
    <row r="126" ht="15.75" customHeight="1">
      <c r="A126" s="28"/>
      <c r="B126" s="28"/>
      <c r="C126" s="45"/>
      <c r="D126" s="45"/>
      <c r="E126" s="50"/>
      <c r="F126" s="28"/>
      <c r="G126" s="28"/>
      <c r="H126" s="28"/>
      <c r="I126" s="49"/>
      <c r="J126" s="49"/>
      <c r="K126" s="80"/>
      <c r="L126" s="106"/>
      <c r="M126" s="34"/>
      <c r="N126" s="34"/>
      <c r="O126" s="34"/>
      <c r="P126" s="34"/>
      <c r="Q126" s="28"/>
      <c r="R126" s="49"/>
      <c r="S126" s="1"/>
      <c r="T126" s="95"/>
      <c r="U126" s="45"/>
      <c r="V126" s="34"/>
      <c r="W126" s="50"/>
    </row>
    <row r="127" ht="15.75" customHeight="1">
      <c r="A127" s="28"/>
      <c r="B127" s="28"/>
      <c r="C127" s="45"/>
      <c r="D127" s="45"/>
      <c r="E127" s="50"/>
      <c r="F127" s="28"/>
      <c r="G127" s="28"/>
      <c r="H127" s="28"/>
      <c r="I127" s="49"/>
      <c r="J127" s="49"/>
      <c r="K127" s="80"/>
      <c r="L127" s="106"/>
      <c r="M127" s="34"/>
      <c r="N127" s="34"/>
      <c r="O127" s="34"/>
      <c r="P127" s="34"/>
      <c r="Q127" s="28"/>
      <c r="R127" s="49"/>
      <c r="S127" s="1"/>
      <c r="T127" s="95"/>
      <c r="U127" s="45"/>
      <c r="V127" s="34"/>
      <c r="W127" s="50"/>
    </row>
    <row r="128" ht="15.75" customHeight="1">
      <c r="A128" s="28"/>
      <c r="B128" s="28"/>
      <c r="C128" s="45"/>
      <c r="D128" s="45"/>
      <c r="E128" s="50"/>
      <c r="F128" s="28"/>
      <c r="G128" s="28"/>
      <c r="H128" s="28"/>
      <c r="I128" s="49"/>
      <c r="J128" s="49"/>
      <c r="K128" s="80"/>
      <c r="L128" s="106"/>
      <c r="M128" s="34"/>
      <c r="N128" s="34"/>
      <c r="O128" s="34"/>
      <c r="P128" s="34"/>
      <c r="Q128" s="28"/>
      <c r="R128" s="49"/>
      <c r="S128" s="1"/>
      <c r="T128" s="95"/>
      <c r="U128" s="45"/>
      <c r="V128" s="34"/>
      <c r="W128" s="50"/>
    </row>
    <row r="129" ht="15.75" customHeight="1">
      <c r="A129" s="28"/>
      <c r="B129" s="28"/>
      <c r="C129" s="45"/>
      <c r="D129" s="45"/>
      <c r="E129" s="50"/>
      <c r="F129" s="28"/>
      <c r="G129" s="28"/>
      <c r="H129" s="28"/>
      <c r="I129" s="49"/>
      <c r="J129" s="49"/>
      <c r="K129" s="80"/>
      <c r="L129" s="106"/>
      <c r="M129" s="34"/>
      <c r="N129" s="34"/>
      <c r="O129" s="34"/>
      <c r="P129" s="34"/>
      <c r="Q129" s="28"/>
      <c r="R129" s="49"/>
      <c r="S129" s="1"/>
      <c r="T129" s="95"/>
      <c r="U129" s="45"/>
      <c r="V129" s="34"/>
      <c r="W129" s="50"/>
    </row>
    <row r="130" ht="15.75" customHeight="1">
      <c r="A130" s="28"/>
      <c r="B130" s="28"/>
      <c r="C130" s="45"/>
      <c r="D130" s="45"/>
      <c r="E130" s="50"/>
      <c r="F130" s="28"/>
      <c r="G130" s="28"/>
      <c r="H130" s="28"/>
      <c r="I130" s="49"/>
      <c r="J130" s="49"/>
      <c r="K130" s="80"/>
      <c r="L130" s="106"/>
      <c r="M130" s="34"/>
      <c r="N130" s="34"/>
      <c r="O130" s="34"/>
      <c r="P130" s="34"/>
      <c r="Q130" s="28"/>
      <c r="R130" s="49"/>
      <c r="S130" s="1"/>
      <c r="T130" s="95"/>
      <c r="U130" s="45"/>
      <c r="V130" s="34"/>
      <c r="W130" s="50"/>
    </row>
    <row r="131" ht="15.75" customHeight="1">
      <c r="A131" s="28"/>
      <c r="B131" s="28"/>
      <c r="C131" s="45"/>
      <c r="D131" s="45"/>
      <c r="E131" s="50"/>
      <c r="F131" s="28"/>
      <c r="G131" s="28"/>
      <c r="H131" s="28"/>
      <c r="I131" s="49"/>
      <c r="J131" s="49"/>
      <c r="K131" s="80"/>
      <c r="L131" s="106"/>
      <c r="M131" s="34"/>
      <c r="N131" s="34"/>
      <c r="O131" s="34"/>
      <c r="P131" s="34"/>
      <c r="Q131" s="28"/>
      <c r="R131" s="49"/>
      <c r="S131" s="1"/>
      <c r="T131" s="95"/>
      <c r="U131" s="45"/>
      <c r="V131" s="34"/>
      <c r="W131" s="50"/>
    </row>
    <row r="132" ht="15.75" customHeight="1">
      <c r="A132" s="28"/>
      <c r="B132" s="28"/>
      <c r="C132" s="45"/>
      <c r="D132" s="45"/>
      <c r="E132" s="50"/>
      <c r="F132" s="28"/>
      <c r="G132" s="28"/>
      <c r="H132" s="28"/>
      <c r="I132" s="49"/>
      <c r="J132" s="49"/>
      <c r="K132" s="80"/>
      <c r="L132" s="106"/>
      <c r="M132" s="34"/>
      <c r="N132" s="34"/>
      <c r="O132" s="34"/>
      <c r="P132" s="34"/>
      <c r="Q132" s="28"/>
      <c r="R132" s="49"/>
      <c r="S132" s="1"/>
      <c r="T132" s="95"/>
      <c r="U132" s="45"/>
      <c r="V132" s="34"/>
      <c r="W132" s="50"/>
    </row>
    <row r="133" ht="15.75" customHeight="1">
      <c r="A133" s="28"/>
      <c r="B133" s="28"/>
      <c r="C133" s="45"/>
      <c r="D133" s="45"/>
      <c r="E133" s="50"/>
      <c r="F133" s="28"/>
      <c r="G133" s="28"/>
      <c r="H133" s="28"/>
      <c r="I133" s="49"/>
      <c r="J133" s="49"/>
      <c r="K133" s="80"/>
      <c r="L133" s="106"/>
      <c r="M133" s="34"/>
      <c r="N133" s="34"/>
      <c r="O133" s="34"/>
      <c r="P133" s="34"/>
      <c r="Q133" s="28"/>
      <c r="R133" s="49"/>
      <c r="S133" s="1"/>
      <c r="T133" s="95"/>
      <c r="U133" s="45"/>
      <c r="V133" s="34"/>
      <c r="W133" s="50"/>
    </row>
    <row r="134" ht="15.75" customHeight="1">
      <c r="A134" s="28"/>
      <c r="B134" s="28"/>
      <c r="C134" s="45"/>
      <c r="D134" s="45"/>
      <c r="E134" s="50"/>
      <c r="F134" s="28"/>
      <c r="G134" s="28"/>
      <c r="H134" s="28"/>
      <c r="I134" s="49"/>
      <c r="J134" s="49"/>
      <c r="K134" s="80"/>
      <c r="L134" s="106"/>
      <c r="M134" s="34"/>
      <c r="N134" s="34"/>
      <c r="O134" s="34"/>
      <c r="P134" s="34"/>
      <c r="Q134" s="28"/>
      <c r="R134" s="49"/>
      <c r="S134" s="1"/>
      <c r="T134" s="95"/>
      <c r="U134" s="45"/>
      <c r="V134" s="34"/>
      <c r="W134" s="50"/>
    </row>
    <row r="135" ht="15.75" customHeight="1">
      <c r="A135" s="28"/>
      <c r="B135" s="28"/>
      <c r="C135" s="45"/>
      <c r="D135" s="45"/>
      <c r="E135" s="50"/>
      <c r="F135" s="28"/>
      <c r="G135" s="28"/>
      <c r="H135" s="28"/>
      <c r="I135" s="49"/>
      <c r="J135" s="49"/>
      <c r="K135" s="80"/>
      <c r="L135" s="106"/>
      <c r="M135" s="34"/>
      <c r="N135" s="34"/>
      <c r="O135" s="34"/>
      <c r="P135" s="34"/>
      <c r="Q135" s="28"/>
      <c r="R135" s="49"/>
      <c r="S135" s="1"/>
      <c r="T135" s="95"/>
      <c r="U135" s="45"/>
      <c r="V135" s="34"/>
      <c r="W135" s="50"/>
    </row>
    <row r="136" ht="15.75" customHeight="1">
      <c r="A136" s="28"/>
      <c r="B136" s="28"/>
      <c r="C136" s="45"/>
      <c r="D136" s="45"/>
      <c r="E136" s="50"/>
      <c r="F136" s="28"/>
      <c r="G136" s="28"/>
      <c r="H136" s="28"/>
      <c r="I136" s="49"/>
      <c r="J136" s="49"/>
      <c r="K136" s="80"/>
      <c r="L136" s="106"/>
      <c r="M136" s="34"/>
      <c r="N136" s="34"/>
      <c r="O136" s="34"/>
      <c r="P136" s="34"/>
      <c r="Q136" s="28"/>
      <c r="R136" s="49"/>
      <c r="S136" s="1"/>
      <c r="T136" s="95"/>
      <c r="U136" s="45"/>
      <c r="V136" s="34"/>
      <c r="W136" s="50"/>
    </row>
    <row r="137" ht="15.75" customHeight="1">
      <c r="A137" s="28"/>
      <c r="B137" s="28"/>
      <c r="C137" s="45"/>
      <c r="D137" s="45"/>
      <c r="E137" s="50"/>
      <c r="F137" s="28"/>
      <c r="G137" s="28"/>
      <c r="H137" s="28"/>
      <c r="I137" s="49"/>
      <c r="J137" s="49"/>
      <c r="K137" s="80"/>
      <c r="L137" s="106"/>
      <c r="M137" s="34"/>
      <c r="N137" s="34"/>
      <c r="O137" s="34"/>
      <c r="P137" s="34"/>
      <c r="Q137" s="28"/>
      <c r="R137" s="49"/>
      <c r="S137" s="1"/>
      <c r="T137" s="95"/>
      <c r="U137" s="45"/>
      <c r="V137" s="34"/>
      <c r="W137" s="50"/>
    </row>
    <row r="138" ht="15.75" customHeight="1">
      <c r="A138" s="28"/>
      <c r="B138" s="28"/>
      <c r="C138" s="45"/>
      <c r="D138" s="45"/>
      <c r="E138" s="50"/>
      <c r="F138" s="28"/>
      <c r="G138" s="28"/>
      <c r="H138" s="28"/>
      <c r="I138" s="49"/>
      <c r="J138" s="49"/>
      <c r="K138" s="80"/>
      <c r="L138" s="106"/>
      <c r="M138" s="34"/>
      <c r="N138" s="34"/>
      <c r="O138" s="34"/>
      <c r="P138" s="34"/>
      <c r="Q138" s="28"/>
      <c r="R138" s="49"/>
      <c r="S138" s="1"/>
      <c r="T138" s="95"/>
      <c r="U138" s="45"/>
      <c r="V138" s="34"/>
      <c r="W138" s="50"/>
    </row>
    <row r="139" ht="15.75" customHeight="1">
      <c r="A139" s="28"/>
      <c r="B139" s="28"/>
      <c r="C139" s="45"/>
      <c r="D139" s="45"/>
      <c r="E139" s="50"/>
      <c r="F139" s="28"/>
      <c r="G139" s="28"/>
      <c r="H139" s="28"/>
      <c r="I139" s="49"/>
      <c r="J139" s="49"/>
      <c r="K139" s="80"/>
      <c r="L139" s="106"/>
      <c r="M139" s="34"/>
      <c r="N139" s="34"/>
      <c r="O139" s="34"/>
      <c r="P139" s="34"/>
      <c r="Q139" s="28"/>
      <c r="R139" s="49"/>
      <c r="S139" s="1"/>
      <c r="T139" s="95"/>
      <c r="U139" s="45"/>
      <c r="V139" s="34"/>
      <c r="W139" s="50"/>
    </row>
    <row r="140" ht="15.75" customHeight="1">
      <c r="A140" s="107" t="s">
        <v>137</v>
      </c>
      <c r="B140" s="108"/>
      <c r="C140" s="109"/>
      <c r="D140" s="109"/>
      <c r="E140" s="110"/>
      <c r="F140" s="108"/>
      <c r="G140" s="108"/>
      <c r="H140" s="108"/>
      <c r="I140" s="108"/>
      <c r="J140" s="108"/>
      <c r="K140" s="111"/>
      <c r="L140" s="108"/>
      <c r="M140" s="112"/>
      <c r="N140" s="112"/>
      <c r="O140" s="113">
        <f>SUM(O141:O159)</f>
        <v>0</v>
      </c>
      <c r="P140" s="112"/>
      <c r="Q140" s="108"/>
      <c r="R140" s="108"/>
      <c r="S140" s="108"/>
      <c r="T140" s="108"/>
      <c r="U140" s="114">
        <f t="shared" ref="U140:V140" si="10">SUM(U141:U159)</f>
        <v>0</v>
      </c>
      <c r="V140" s="113">
        <f t="shared" si="10"/>
        <v>0</v>
      </c>
      <c r="W140" s="115" t="str">
        <f>AVERAGE(W141:W159)</f>
        <v>#DIV/0!</v>
      </c>
    </row>
    <row r="141" ht="15.75" customHeight="1">
      <c r="A141" s="28"/>
      <c r="B141" s="28"/>
      <c r="C141" s="45"/>
      <c r="D141" s="45"/>
      <c r="E141" s="50"/>
      <c r="F141" s="28"/>
      <c r="G141" s="28"/>
      <c r="H141" s="28"/>
      <c r="I141" s="49"/>
      <c r="J141" s="49"/>
      <c r="K141" s="80"/>
      <c r="L141" s="106"/>
      <c r="M141" s="34"/>
      <c r="N141" s="34"/>
      <c r="O141" s="34"/>
      <c r="P141" s="34"/>
      <c r="Q141" s="28"/>
      <c r="R141" s="49"/>
      <c r="S141" s="1"/>
      <c r="T141" s="95"/>
      <c r="U141" s="45"/>
      <c r="V141" s="34"/>
      <c r="W141" s="50"/>
    </row>
    <row r="142" ht="15.75" customHeight="1">
      <c r="A142" s="28"/>
      <c r="B142" s="28"/>
      <c r="C142" s="45"/>
      <c r="D142" s="45"/>
      <c r="E142" s="50"/>
      <c r="F142" s="28"/>
      <c r="G142" s="28"/>
      <c r="H142" s="28"/>
      <c r="I142" s="49"/>
      <c r="J142" s="49"/>
      <c r="K142" s="80"/>
      <c r="L142" s="106"/>
      <c r="M142" s="34"/>
      <c r="N142" s="34"/>
      <c r="O142" s="34"/>
      <c r="P142" s="34"/>
      <c r="Q142" s="28"/>
      <c r="R142" s="49"/>
      <c r="S142" s="1"/>
      <c r="T142" s="95"/>
      <c r="U142" s="45"/>
      <c r="V142" s="34"/>
      <c r="W142" s="50"/>
    </row>
    <row r="143" ht="15.75" customHeight="1">
      <c r="A143" s="28"/>
      <c r="B143" s="28"/>
      <c r="C143" s="45"/>
      <c r="D143" s="45"/>
      <c r="E143" s="50"/>
      <c r="F143" s="28"/>
      <c r="G143" s="28"/>
      <c r="H143" s="28"/>
      <c r="I143" s="49"/>
      <c r="J143" s="49"/>
      <c r="K143" s="80"/>
      <c r="L143" s="106"/>
      <c r="M143" s="34"/>
      <c r="N143" s="34"/>
      <c r="O143" s="34"/>
      <c r="P143" s="34"/>
      <c r="Q143" s="28"/>
      <c r="R143" s="49"/>
      <c r="S143" s="1"/>
      <c r="T143" s="95"/>
      <c r="U143" s="45"/>
      <c r="V143" s="34"/>
      <c r="W143" s="50"/>
    </row>
    <row r="144" ht="15.75" customHeight="1">
      <c r="A144" s="28"/>
      <c r="B144" s="28"/>
      <c r="C144" s="45"/>
      <c r="D144" s="45"/>
      <c r="E144" s="50"/>
      <c r="F144" s="28"/>
      <c r="G144" s="28"/>
      <c r="H144" s="28"/>
      <c r="I144" s="49"/>
      <c r="J144" s="49"/>
      <c r="K144" s="80"/>
      <c r="L144" s="106"/>
      <c r="M144" s="34"/>
      <c r="N144" s="34"/>
      <c r="O144" s="34"/>
      <c r="P144" s="34"/>
      <c r="Q144" s="28"/>
      <c r="R144" s="49"/>
      <c r="S144" s="1"/>
      <c r="T144" s="95"/>
      <c r="U144" s="45"/>
      <c r="V144" s="34"/>
      <c r="W144" s="50"/>
    </row>
    <row r="145" ht="15.75" customHeight="1">
      <c r="A145" s="28"/>
      <c r="B145" s="28"/>
      <c r="C145" s="45"/>
      <c r="D145" s="45"/>
      <c r="E145" s="50"/>
      <c r="F145" s="28"/>
      <c r="G145" s="28"/>
      <c r="H145" s="28"/>
      <c r="I145" s="49"/>
      <c r="J145" s="49"/>
      <c r="K145" s="80"/>
      <c r="L145" s="106"/>
      <c r="M145" s="34"/>
      <c r="N145" s="34"/>
      <c r="O145" s="34"/>
      <c r="P145" s="34"/>
      <c r="Q145" s="28"/>
      <c r="R145" s="49"/>
      <c r="S145" s="1"/>
      <c r="T145" s="95"/>
      <c r="U145" s="45"/>
      <c r="V145" s="34"/>
      <c r="W145" s="50"/>
    </row>
    <row r="146" ht="15.75" customHeight="1">
      <c r="A146" s="28"/>
      <c r="B146" s="28"/>
      <c r="C146" s="45"/>
      <c r="D146" s="45"/>
      <c r="E146" s="50"/>
      <c r="F146" s="28"/>
      <c r="G146" s="28"/>
      <c r="H146" s="28"/>
      <c r="I146" s="49"/>
      <c r="J146" s="49"/>
      <c r="K146" s="80"/>
      <c r="L146" s="106"/>
      <c r="M146" s="34"/>
      <c r="N146" s="34"/>
      <c r="O146" s="34"/>
      <c r="P146" s="34"/>
      <c r="Q146" s="28"/>
      <c r="R146" s="49"/>
      <c r="S146" s="1"/>
      <c r="T146" s="95"/>
      <c r="U146" s="45"/>
      <c r="V146" s="34"/>
      <c r="W146" s="50"/>
    </row>
    <row r="147" ht="15.75" customHeight="1">
      <c r="A147" s="28"/>
      <c r="B147" s="28"/>
      <c r="C147" s="45"/>
      <c r="D147" s="45"/>
      <c r="E147" s="50"/>
      <c r="F147" s="28"/>
      <c r="G147" s="28"/>
      <c r="H147" s="28"/>
      <c r="I147" s="49"/>
      <c r="J147" s="49"/>
      <c r="K147" s="80"/>
      <c r="L147" s="106"/>
      <c r="M147" s="34"/>
      <c r="N147" s="34"/>
      <c r="O147" s="34"/>
      <c r="P147" s="34"/>
      <c r="Q147" s="28"/>
      <c r="R147" s="49"/>
      <c r="S147" s="1"/>
      <c r="T147" s="95"/>
      <c r="U147" s="45"/>
      <c r="V147" s="34"/>
      <c r="W147" s="50"/>
    </row>
    <row r="148" ht="15.75" customHeight="1">
      <c r="A148" s="28"/>
      <c r="B148" s="28"/>
      <c r="C148" s="45"/>
      <c r="D148" s="45"/>
      <c r="E148" s="50"/>
      <c r="F148" s="28"/>
      <c r="G148" s="28"/>
      <c r="H148" s="28"/>
      <c r="I148" s="49"/>
      <c r="J148" s="49"/>
      <c r="K148" s="80"/>
      <c r="L148" s="106"/>
      <c r="M148" s="34"/>
      <c r="N148" s="34"/>
      <c r="O148" s="34"/>
      <c r="P148" s="34"/>
      <c r="Q148" s="28"/>
      <c r="R148" s="49"/>
      <c r="S148" s="1"/>
      <c r="T148" s="95"/>
      <c r="U148" s="45"/>
      <c r="V148" s="34"/>
      <c r="W148" s="50"/>
    </row>
    <row r="149" ht="15.75" customHeight="1">
      <c r="A149" s="28"/>
      <c r="B149" s="28"/>
      <c r="C149" s="45"/>
      <c r="D149" s="45"/>
      <c r="E149" s="50"/>
      <c r="F149" s="28"/>
      <c r="G149" s="28"/>
      <c r="H149" s="28"/>
      <c r="I149" s="49"/>
      <c r="J149" s="49"/>
      <c r="K149" s="80"/>
      <c r="L149" s="106"/>
      <c r="M149" s="34"/>
      <c r="N149" s="34"/>
      <c r="O149" s="34"/>
      <c r="P149" s="34"/>
      <c r="Q149" s="28"/>
      <c r="R149" s="49"/>
      <c r="S149" s="1"/>
      <c r="T149" s="95"/>
      <c r="U149" s="45"/>
      <c r="V149" s="34"/>
      <c r="W149" s="50"/>
    </row>
    <row r="150" ht="15.75" customHeight="1">
      <c r="A150" s="28"/>
      <c r="B150" s="28"/>
      <c r="C150" s="45"/>
      <c r="D150" s="45"/>
      <c r="E150" s="50"/>
      <c r="F150" s="28"/>
      <c r="G150" s="28"/>
      <c r="H150" s="28"/>
      <c r="I150" s="49"/>
      <c r="J150" s="49"/>
      <c r="K150" s="80"/>
      <c r="L150" s="106"/>
      <c r="M150" s="34"/>
      <c r="N150" s="34"/>
      <c r="O150" s="34"/>
      <c r="P150" s="34"/>
      <c r="Q150" s="28"/>
      <c r="R150" s="49"/>
      <c r="S150" s="1"/>
      <c r="T150" s="95"/>
      <c r="U150" s="45"/>
      <c r="V150" s="34"/>
      <c r="W150" s="50"/>
    </row>
    <row r="151" ht="15.75" customHeight="1">
      <c r="A151" s="28"/>
      <c r="B151" s="28"/>
      <c r="C151" s="45"/>
      <c r="D151" s="45"/>
      <c r="E151" s="50"/>
      <c r="F151" s="28"/>
      <c r="G151" s="28"/>
      <c r="H151" s="28"/>
      <c r="I151" s="49"/>
      <c r="J151" s="49"/>
      <c r="K151" s="80"/>
      <c r="L151" s="106"/>
      <c r="M151" s="34"/>
      <c r="N151" s="34"/>
      <c r="O151" s="34"/>
      <c r="P151" s="34"/>
      <c r="Q151" s="28"/>
      <c r="R151" s="49"/>
      <c r="S151" s="1"/>
      <c r="T151" s="95"/>
      <c r="U151" s="45"/>
      <c r="V151" s="34"/>
      <c r="W151" s="50"/>
    </row>
    <row r="152" ht="15.75" customHeight="1">
      <c r="A152" s="28"/>
      <c r="B152" s="28"/>
      <c r="C152" s="45"/>
      <c r="D152" s="45"/>
      <c r="E152" s="50"/>
      <c r="F152" s="28"/>
      <c r="G152" s="28"/>
      <c r="H152" s="28"/>
      <c r="I152" s="49"/>
      <c r="J152" s="49"/>
      <c r="K152" s="80"/>
      <c r="L152" s="106"/>
      <c r="M152" s="34"/>
      <c r="N152" s="34"/>
      <c r="O152" s="34"/>
      <c r="P152" s="34"/>
      <c r="Q152" s="28"/>
      <c r="R152" s="49"/>
      <c r="S152" s="1"/>
      <c r="T152" s="95"/>
      <c r="U152" s="45"/>
      <c r="V152" s="34"/>
      <c r="W152" s="50"/>
    </row>
    <row r="153" ht="15.75" customHeight="1">
      <c r="A153" s="28"/>
      <c r="B153" s="28"/>
      <c r="C153" s="45"/>
      <c r="D153" s="45"/>
      <c r="E153" s="50"/>
      <c r="F153" s="28"/>
      <c r="G153" s="28"/>
      <c r="H153" s="28"/>
      <c r="I153" s="49"/>
      <c r="J153" s="49"/>
      <c r="K153" s="80"/>
      <c r="L153" s="106"/>
      <c r="M153" s="34"/>
      <c r="N153" s="34"/>
      <c r="O153" s="34"/>
      <c r="P153" s="34"/>
      <c r="Q153" s="28"/>
      <c r="R153" s="49"/>
      <c r="S153" s="1"/>
      <c r="T153" s="95"/>
      <c r="U153" s="45"/>
      <c r="V153" s="34"/>
      <c r="W153" s="50"/>
    </row>
    <row r="154" ht="15.75" customHeight="1">
      <c r="A154" s="28"/>
      <c r="B154" s="28"/>
      <c r="C154" s="45"/>
      <c r="D154" s="45"/>
      <c r="E154" s="50"/>
      <c r="F154" s="28"/>
      <c r="G154" s="28"/>
      <c r="H154" s="28"/>
      <c r="I154" s="49"/>
      <c r="J154" s="49"/>
      <c r="K154" s="80"/>
      <c r="L154" s="106"/>
      <c r="M154" s="34"/>
      <c r="N154" s="34"/>
      <c r="O154" s="34"/>
      <c r="P154" s="34"/>
      <c r="Q154" s="28"/>
      <c r="R154" s="49"/>
      <c r="S154" s="1"/>
      <c r="T154" s="95"/>
      <c r="U154" s="45"/>
      <c r="V154" s="34"/>
      <c r="W154" s="50"/>
    </row>
    <row r="155" ht="15.75" customHeight="1">
      <c r="A155" s="28"/>
      <c r="B155" s="28"/>
      <c r="C155" s="45"/>
      <c r="D155" s="45"/>
      <c r="E155" s="50"/>
      <c r="F155" s="28"/>
      <c r="G155" s="28"/>
      <c r="H155" s="28"/>
      <c r="I155" s="49"/>
      <c r="J155" s="49"/>
      <c r="K155" s="80"/>
      <c r="L155" s="106"/>
      <c r="M155" s="34"/>
      <c r="N155" s="34"/>
      <c r="O155" s="34"/>
      <c r="P155" s="34"/>
      <c r="Q155" s="28"/>
      <c r="R155" s="49"/>
      <c r="S155" s="1"/>
      <c r="T155" s="95"/>
      <c r="U155" s="45"/>
      <c r="V155" s="34"/>
      <c r="W155" s="50"/>
    </row>
    <row r="156" ht="15.75" customHeight="1">
      <c r="A156" s="28"/>
      <c r="B156" s="28"/>
      <c r="C156" s="45"/>
      <c r="D156" s="45"/>
      <c r="E156" s="50"/>
      <c r="F156" s="28"/>
      <c r="G156" s="28"/>
      <c r="H156" s="28"/>
      <c r="I156" s="49"/>
      <c r="J156" s="49"/>
      <c r="K156" s="80"/>
      <c r="L156" s="106"/>
      <c r="M156" s="34"/>
      <c r="N156" s="34"/>
      <c r="O156" s="34"/>
      <c r="P156" s="34"/>
      <c r="Q156" s="28"/>
      <c r="R156" s="49"/>
      <c r="S156" s="1"/>
      <c r="T156" s="95"/>
      <c r="U156" s="45"/>
      <c r="V156" s="34"/>
      <c r="W156" s="50"/>
    </row>
    <row r="157" ht="15.75" customHeight="1">
      <c r="A157" s="28"/>
      <c r="B157" s="28"/>
      <c r="C157" s="45"/>
      <c r="D157" s="45"/>
      <c r="E157" s="50"/>
      <c r="F157" s="28"/>
      <c r="G157" s="28"/>
      <c r="H157" s="28"/>
      <c r="I157" s="49"/>
      <c r="J157" s="49"/>
      <c r="K157" s="80"/>
      <c r="L157" s="106"/>
      <c r="M157" s="34"/>
      <c r="N157" s="34"/>
      <c r="O157" s="34"/>
      <c r="P157" s="34"/>
      <c r="Q157" s="28"/>
      <c r="R157" s="49"/>
      <c r="S157" s="1"/>
      <c r="T157" s="95"/>
      <c r="U157" s="45"/>
      <c r="V157" s="34"/>
      <c r="W157" s="50"/>
    </row>
    <row r="158" ht="15.75" customHeight="1">
      <c r="A158" s="28"/>
      <c r="B158" s="28"/>
      <c r="C158" s="45"/>
      <c r="D158" s="45"/>
      <c r="E158" s="50"/>
      <c r="F158" s="28"/>
      <c r="G158" s="28"/>
      <c r="H158" s="28"/>
      <c r="I158" s="49"/>
      <c r="J158" s="49"/>
      <c r="K158" s="80"/>
      <c r="L158" s="106"/>
      <c r="M158" s="34"/>
      <c r="N158" s="34"/>
      <c r="O158" s="34"/>
      <c r="P158" s="34"/>
      <c r="Q158" s="28"/>
      <c r="R158" s="49"/>
      <c r="S158" s="1"/>
      <c r="T158" s="95"/>
      <c r="U158" s="45"/>
      <c r="V158" s="34"/>
      <c r="W158" s="50"/>
    </row>
    <row r="159" ht="15.75" customHeight="1">
      <c r="A159" s="28"/>
      <c r="B159" s="28"/>
      <c r="C159" s="45"/>
      <c r="D159" s="45"/>
      <c r="E159" s="50"/>
      <c r="F159" s="28"/>
      <c r="G159" s="28"/>
      <c r="H159" s="28"/>
      <c r="I159" s="49"/>
      <c r="J159" s="49"/>
      <c r="K159" s="80"/>
      <c r="L159" s="106"/>
      <c r="M159" s="34"/>
      <c r="N159" s="34"/>
      <c r="O159" s="34"/>
      <c r="P159" s="34"/>
      <c r="Q159" s="28"/>
      <c r="R159" s="49"/>
      <c r="S159" s="1"/>
      <c r="T159" s="95"/>
      <c r="U159" s="45"/>
      <c r="V159" s="34"/>
      <c r="W159" s="50"/>
    </row>
    <row r="160" ht="15.75" customHeight="1">
      <c r="A160" s="107" t="s">
        <v>71</v>
      </c>
      <c r="B160" s="108"/>
      <c r="C160" s="109"/>
      <c r="D160" s="109"/>
      <c r="E160" s="110"/>
      <c r="F160" s="108"/>
      <c r="G160" s="108"/>
      <c r="H160" s="108"/>
      <c r="I160" s="108"/>
      <c r="J160" s="108"/>
      <c r="K160" s="111"/>
      <c r="L160" s="108"/>
      <c r="M160" s="112"/>
      <c r="N160" s="112"/>
      <c r="O160" s="113">
        <f>SUM(O161:O179)</f>
        <v>0</v>
      </c>
      <c r="P160" s="112"/>
      <c r="Q160" s="108"/>
      <c r="R160" s="108"/>
      <c r="S160" s="108"/>
      <c r="T160" s="108"/>
      <c r="U160" s="114">
        <f t="shared" ref="U160:V160" si="11">SUM(U161:U179)</f>
        <v>0</v>
      </c>
      <c r="V160" s="113">
        <f t="shared" si="11"/>
        <v>0</v>
      </c>
      <c r="W160" s="115" t="str">
        <f>AVERAGE(W161:W179)</f>
        <v>#DIV/0!</v>
      </c>
    </row>
    <row r="161" ht="15.75" customHeight="1">
      <c r="A161" s="28"/>
      <c r="B161" s="28"/>
      <c r="C161" s="45"/>
      <c r="D161" s="45"/>
      <c r="E161" s="50"/>
      <c r="F161" s="28"/>
      <c r="G161" s="28"/>
      <c r="H161" s="28"/>
      <c r="I161" s="49"/>
      <c r="J161" s="49"/>
      <c r="K161" s="80"/>
      <c r="L161" s="106"/>
      <c r="M161" s="34"/>
      <c r="N161" s="34"/>
      <c r="O161" s="34"/>
      <c r="P161" s="34"/>
      <c r="Q161" s="28"/>
      <c r="R161" s="49"/>
      <c r="S161" s="1"/>
      <c r="T161" s="95"/>
      <c r="U161" s="45"/>
      <c r="V161" s="34"/>
      <c r="W161" s="50"/>
    </row>
    <row r="162" ht="15.75" customHeight="1">
      <c r="A162" s="28"/>
      <c r="B162" s="28"/>
      <c r="C162" s="45"/>
      <c r="D162" s="45"/>
      <c r="E162" s="50"/>
      <c r="F162" s="28"/>
      <c r="G162" s="28"/>
      <c r="H162" s="28"/>
      <c r="I162" s="49"/>
      <c r="J162" s="49"/>
      <c r="K162" s="80"/>
      <c r="L162" s="106"/>
      <c r="M162" s="34"/>
      <c r="N162" s="34"/>
      <c r="O162" s="34"/>
      <c r="P162" s="34"/>
      <c r="Q162" s="28"/>
      <c r="R162" s="49"/>
      <c r="S162" s="1"/>
      <c r="T162" s="95"/>
      <c r="U162" s="45"/>
      <c r="V162" s="34"/>
      <c r="W162" s="50"/>
    </row>
    <row r="163" ht="15.75" customHeight="1">
      <c r="A163" s="28"/>
      <c r="B163" s="28"/>
      <c r="C163" s="45"/>
      <c r="D163" s="45"/>
      <c r="E163" s="50"/>
      <c r="F163" s="28"/>
      <c r="G163" s="28"/>
      <c r="H163" s="28"/>
      <c r="I163" s="49"/>
      <c r="J163" s="49"/>
      <c r="K163" s="80"/>
      <c r="L163" s="106"/>
      <c r="M163" s="34"/>
      <c r="N163" s="34"/>
      <c r="O163" s="34"/>
      <c r="P163" s="34"/>
      <c r="Q163" s="28"/>
      <c r="R163" s="49"/>
      <c r="S163" s="1"/>
      <c r="T163" s="95"/>
      <c r="U163" s="45"/>
      <c r="V163" s="34"/>
      <c r="W163" s="50"/>
    </row>
    <row r="164" ht="15.75" customHeight="1">
      <c r="A164" s="28"/>
      <c r="B164" s="28"/>
      <c r="C164" s="45"/>
      <c r="D164" s="45"/>
      <c r="E164" s="50"/>
      <c r="F164" s="28"/>
      <c r="G164" s="28"/>
      <c r="H164" s="28"/>
      <c r="I164" s="49"/>
      <c r="J164" s="49"/>
      <c r="K164" s="80"/>
      <c r="L164" s="106"/>
      <c r="M164" s="34"/>
      <c r="N164" s="34"/>
      <c r="O164" s="34"/>
      <c r="P164" s="34"/>
      <c r="Q164" s="28"/>
      <c r="R164" s="49"/>
      <c r="S164" s="1"/>
      <c r="T164" s="95"/>
      <c r="U164" s="45"/>
      <c r="V164" s="34"/>
      <c r="W164" s="50"/>
    </row>
    <row r="165" ht="15.75" customHeight="1">
      <c r="A165" s="28"/>
      <c r="B165" s="28"/>
      <c r="C165" s="45"/>
      <c r="D165" s="45"/>
      <c r="E165" s="50"/>
      <c r="F165" s="28"/>
      <c r="G165" s="28"/>
      <c r="H165" s="28"/>
      <c r="I165" s="49"/>
      <c r="J165" s="49"/>
      <c r="K165" s="80"/>
      <c r="L165" s="106"/>
      <c r="M165" s="34"/>
      <c r="N165" s="34"/>
      <c r="O165" s="34"/>
      <c r="P165" s="34"/>
      <c r="Q165" s="28"/>
      <c r="R165" s="49"/>
      <c r="S165" s="1"/>
      <c r="T165" s="95"/>
      <c r="U165" s="45"/>
      <c r="V165" s="34"/>
      <c r="W165" s="50"/>
    </row>
    <row r="166" ht="15.75" customHeight="1">
      <c r="A166" s="28"/>
      <c r="B166" s="28"/>
      <c r="C166" s="45"/>
      <c r="D166" s="45"/>
      <c r="E166" s="50"/>
      <c r="F166" s="28"/>
      <c r="G166" s="28"/>
      <c r="H166" s="28"/>
      <c r="I166" s="49"/>
      <c r="J166" s="49"/>
      <c r="K166" s="80"/>
      <c r="L166" s="106"/>
      <c r="M166" s="34"/>
      <c r="N166" s="34"/>
      <c r="O166" s="34"/>
      <c r="P166" s="34"/>
      <c r="Q166" s="28"/>
      <c r="R166" s="49"/>
      <c r="S166" s="1"/>
      <c r="T166" s="95"/>
      <c r="U166" s="45"/>
      <c r="V166" s="34"/>
      <c r="W166" s="50"/>
    </row>
    <row r="167" ht="15.75" customHeight="1">
      <c r="A167" s="28"/>
      <c r="B167" s="28"/>
      <c r="C167" s="45"/>
      <c r="D167" s="45"/>
      <c r="E167" s="50"/>
      <c r="F167" s="28"/>
      <c r="G167" s="28"/>
      <c r="H167" s="28"/>
      <c r="I167" s="49"/>
      <c r="J167" s="49"/>
      <c r="K167" s="80"/>
      <c r="L167" s="106"/>
      <c r="M167" s="34"/>
      <c r="N167" s="34"/>
      <c r="O167" s="34"/>
      <c r="P167" s="34"/>
      <c r="Q167" s="28"/>
      <c r="R167" s="49"/>
      <c r="S167" s="1"/>
      <c r="T167" s="95"/>
      <c r="U167" s="45"/>
      <c r="V167" s="34"/>
      <c r="W167" s="50"/>
    </row>
    <row r="168" ht="15.75" customHeight="1">
      <c r="A168" s="28"/>
      <c r="B168" s="28"/>
      <c r="C168" s="45"/>
      <c r="D168" s="45"/>
      <c r="E168" s="50"/>
      <c r="F168" s="28"/>
      <c r="G168" s="28"/>
      <c r="H168" s="28"/>
      <c r="I168" s="49"/>
      <c r="J168" s="49"/>
      <c r="K168" s="80"/>
      <c r="L168" s="106"/>
      <c r="M168" s="34"/>
      <c r="N168" s="34"/>
      <c r="O168" s="34"/>
      <c r="P168" s="34"/>
      <c r="Q168" s="28"/>
      <c r="R168" s="49"/>
      <c r="S168" s="1"/>
      <c r="T168" s="95"/>
      <c r="U168" s="45"/>
      <c r="V168" s="34"/>
      <c r="W168" s="50"/>
    </row>
    <row r="169" ht="15.75" customHeight="1">
      <c r="A169" s="28"/>
      <c r="B169" s="28"/>
      <c r="C169" s="45"/>
      <c r="D169" s="45"/>
      <c r="E169" s="50"/>
      <c r="F169" s="28"/>
      <c r="G169" s="28"/>
      <c r="H169" s="28"/>
      <c r="I169" s="49"/>
      <c r="J169" s="49"/>
      <c r="K169" s="80"/>
      <c r="L169" s="106"/>
      <c r="M169" s="34"/>
      <c r="N169" s="34"/>
      <c r="O169" s="34"/>
      <c r="P169" s="34"/>
      <c r="Q169" s="28"/>
      <c r="R169" s="49"/>
      <c r="S169" s="1"/>
      <c r="T169" s="95"/>
      <c r="U169" s="45"/>
      <c r="V169" s="34"/>
      <c r="W169" s="50"/>
    </row>
    <row r="170" ht="15.75" customHeight="1">
      <c r="A170" s="28"/>
      <c r="B170" s="28"/>
      <c r="C170" s="45"/>
      <c r="D170" s="45"/>
      <c r="E170" s="50"/>
      <c r="F170" s="28"/>
      <c r="G170" s="28"/>
      <c r="H170" s="28"/>
      <c r="I170" s="49"/>
      <c r="J170" s="49"/>
      <c r="K170" s="80"/>
      <c r="L170" s="106"/>
      <c r="M170" s="34"/>
      <c r="N170" s="34"/>
      <c r="O170" s="34"/>
      <c r="P170" s="34"/>
      <c r="Q170" s="28"/>
      <c r="R170" s="49"/>
      <c r="S170" s="1"/>
      <c r="T170" s="95"/>
      <c r="U170" s="45"/>
      <c r="V170" s="34"/>
      <c r="W170" s="50"/>
    </row>
    <row r="171" ht="15.75" customHeight="1">
      <c r="A171" s="28"/>
      <c r="B171" s="28"/>
      <c r="C171" s="45"/>
      <c r="D171" s="45"/>
      <c r="E171" s="50"/>
      <c r="F171" s="28"/>
      <c r="G171" s="28"/>
      <c r="H171" s="28"/>
      <c r="I171" s="49"/>
      <c r="J171" s="49"/>
      <c r="K171" s="80"/>
      <c r="L171" s="106"/>
      <c r="M171" s="34"/>
      <c r="N171" s="34"/>
      <c r="O171" s="34"/>
      <c r="P171" s="34"/>
      <c r="Q171" s="28"/>
      <c r="R171" s="49"/>
      <c r="S171" s="1"/>
      <c r="T171" s="95"/>
      <c r="U171" s="45"/>
      <c r="V171" s="34"/>
      <c r="W171" s="50"/>
    </row>
    <row r="172" ht="15.75" customHeight="1">
      <c r="A172" s="28"/>
      <c r="B172" s="28"/>
      <c r="C172" s="45"/>
      <c r="D172" s="45"/>
      <c r="E172" s="50"/>
      <c r="F172" s="28"/>
      <c r="G172" s="28"/>
      <c r="H172" s="28"/>
      <c r="I172" s="49"/>
      <c r="J172" s="49"/>
      <c r="K172" s="80"/>
      <c r="L172" s="106"/>
      <c r="M172" s="34"/>
      <c r="N172" s="34"/>
      <c r="O172" s="34"/>
      <c r="P172" s="34"/>
      <c r="Q172" s="28"/>
      <c r="R172" s="49"/>
      <c r="S172" s="1"/>
      <c r="T172" s="95"/>
      <c r="U172" s="45"/>
      <c r="V172" s="34"/>
      <c r="W172" s="50"/>
    </row>
    <row r="173" ht="15.75" customHeight="1">
      <c r="A173" s="28"/>
      <c r="B173" s="28"/>
      <c r="C173" s="45"/>
      <c r="D173" s="45"/>
      <c r="E173" s="50"/>
      <c r="F173" s="28"/>
      <c r="G173" s="28"/>
      <c r="H173" s="28"/>
      <c r="I173" s="49"/>
      <c r="J173" s="49"/>
      <c r="K173" s="80"/>
      <c r="L173" s="106"/>
      <c r="M173" s="34"/>
      <c r="N173" s="34"/>
      <c r="O173" s="34"/>
      <c r="P173" s="34"/>
      <c r="Q173" s="28"/>
      <c r="R173" s="49"/>
      <c r="S173" s="1"/>
      <c r="T173" s="95"/>
      <c r="U173" s="45"/>
      <c r="V173" s="34"/>
      <c r="W173" s="50"/>
    </row>
    <row r="174" ht="15.75" customHeight="1">
      <c r="A174" s="28"/>
      <c r="B174" s="28"/>
      <c r="C174" s="45"/>
      <c r="D174" s="45"/>
      <c r="E174" s="50"/>
      <c r="F174" s="28"/>
      <c r="G174" s="28"/>
      <c r="H174" s="28"/>
      <c r="I174" s="49"/>
      <c r="J174" s="49"/>
      <c r="K174" s="80"/>
      <c r="L174" s="106"/>
      <c r="M174" s="34"/>
      <c r="N174" s="34"/>
      <c r="O174" s="34"/>
      <c r="P174" s="34"/>
      <c r="Q174" s="28"/>
      <c r="R174" s="49"/>
      <c r="S174" s="1"/>
      <c r="T174" s="95"/>
      <c r="U174" s="45"/>
      <c r="V174" s="34"/>
      <c r="W174" s="50"/>
    </row>
    <row r="175" ht="15.75" customHeight="1">
      <c r="A175" s="28"/>
      <c r="B175" s="28"/>
      <c r="C175" s="45"/>
      <c r="D175" s="45"/>
      <c r="E175" s="50"/>
      <c r="F175" s="28"/>
      <c r="G175" s="28"/>
      <c r="H175" s="28"/>
      <c r="I175" s="49"/>
      <c r="J175" s="49"/>
      <c r="K175" s="80"/>
      <c r="L175" s="106"/>
      <c r="M175" s="34"/>
      <c r="N175" s="34"/>
      <c r="O175" s="34"/>
      <c r="P175" s="34"/>
      <c r="Q175" s="28"/>
      <c r="R175" s="49"/>
      <c r="S175" s="1"/>
      <c r="T175" s="95"/>
      <c r="U175" s="45"/>
      <c r="V175" s="34"/>
      <c r="W175" s="50"/>
    </row>
    <row r="176" ht="15.75" customHeight="1">
      <c r="A176" s="28"/>
      <c r="B176" s="28"/>
      <c r="C176" s="45"/>
      <c r="D176" s="45"/>
      <c r="E176" s="50"/>
      <c r="F176" s="28"/>
      <c r="G176" s="28"/>
      <c r="H176" s="28"/>
      <c r="I176" s="49"/>
      <c r="J176" s="49"/>
      <c r="K176" s="80"/>
      <c r="L176" s="106"/>
      <c r="M176" s="34"/>
      <c r="N176" s="34"/>
      <c r="O176" s="34"/>
      <c r="P176" s="34"/>
      <c r="Q176" s="28"/>
      <c r="R176" s="49"/>
      <c r="S176" s="1"/>
      <c r="T176" s="95"/>
      <c r="U176" s="45"/>
      <c r="V176" s="34"/>
      <c r="W176" s="50"/>
    </row>
    <row r="177" ht="15.75" customHeight="1">
      <c r="A177" s="28"/>
      <c r="B177" s="28"/>
      <c r="C177" s="45"/>
      <c r="D177" s="45"/>
      <c r="E177" s="50"/>
      <c r="F177" s="28"/>
      <c r="G177" s="28"/>
      <c r="H177" s="28"/>
      <c r="I177" s="49"/>
      <c r="J177" s="49"/>
      <c r="K177" s="80"/>
      <c r="L177" s="106"/>
      <c r="M177" s="34"/>
      <c r="N177" s="34"/>
      <c r="O177" s="34"/>
      <c r="P177" s="34"/>
      <c r="Q177" s="28"/>
      <c r="R177" s="49"/>
      <c r="S177" s="1"/>
      <c r="T177" s="95"/>
      <c r="U177" s="45"/>
      <c r="V177" s="34"/>
      <c r="W177" s="50"/>
    </row>
    <row r="178" ht="15.75" customHeight="1">
      <c r="A178" s="28"/>
      <c r="B178" s="28"/>
      <c r="C178" s="45"/>
      <c r="D178" s="45"/>
      <c r="E178" s="50"/>
      <c r="F178" s="28"/>
      <c r="G178" s="28"/>
      <c r="H178" s="28"/>
      <c r="I178" s="49"/>
      <c r="J178" s="49"/>
      <c r="K178" s="80"/>
      <c r="L178" s="106"/>
      <c r="M178" s="34"/>
      <c r="N178" s="34"/>
      <c r="O178" s="34"/>
      <c r="P178" s="34"/>
      <c r="Q178" s="28"/>
      <c r="R178" s="49"/>
      <c r="S178" s="1"/>
      <c r="T178" s="95"/>
      <c r="U178" s="45"/>
      <c r="V178" s="34"/>
      <c r="W178" s="50"/>
    </row>
    <row r="179" ht="15.75" customHeight="1">
      <c r="A179" s="28"/>
      <c r="B179" s="28"/>
      <c r="C179" s="45"/>
      <c r="D179" s="45"/>
      <c r="E179" s="50"/>
      <c r="F179" s="28"/>
      <c r="G179" s="28"/>
      <c r="H179" s="28"/>
      <c r="I179" s="49"/>
      <c r="J179" s="49"/>
      <c r="K179" s="80"/>
      <c r="L179" s="106"/>
      <c r="M179" s="34"/>
      <c r="N179" s="34"/>
      <c r="O179" s="34"/>
      <c r="P179" s="34"/>
      <c r="Q179" s="28"/>
      <c r="R179" s="49"/>
      <c r="S179" s="1"/>
      <c r="T179" s="95"/>
      <c r="U179" s="45"/>
      <c r="V179" s="34"/>
      <c r="W179" s="50"/>
    </row>
    <row r="180" ht="15.75" customHeight="1">
      <c r="A180" s="107" t="s">
        <v>72</v>
      </c>
      <c r="B180" s="108"/>
      <c r="C180" s="109"/>
      <c r="D180" s="109"/>
      <c r="E180" s="110"/>
      <c r="F180" s="108"/>
      <c r="G180" s="108"/>
      <c r="H180" s="108"/>
      <c r="I180" s="108"/>
      <c r="J180" s="108"/>
      <c r="K180" s="111"/>
      <c r="L180" s="108"/>
      <c r="M180" s="112"/>
      <c r="N180" s="112"/>
      <c r="O180" s="113">
        <f>SUM(O181:O199)</f>
        <v>0</v>
      </c>
      <c r="P180" s="112"/>
      <c r="Q180" s="108"/>
      <c r="R180" s="108"/>
      <c r="S180" s="108"/>
      <c r="T180" s="108"/>
      <c r="U180" s="114">
        <f t="shared" ref="U180:V180" si="12">SUM(U181:U199)</f>
        <v>0</v>
      </c>
      <c r="V180" s="113">
        <f t="shared" si="12"/>
        <v>0</v>
      </c>
      <c r="W180" s="115" t="str">
        <f>AVERAGE(W181:W199)</f>
        <v>#DIV/0!</v>
      </c>
    </row>
    <row r="181" ht="15.75" customHeight="1">
      <c r="A181" s="28"/>
      <c r="B181" s="28"/>
      <c r="C181" s="45"/>
      <c r="D181" s="45"/>
      <c r="E181" s="50"/>
      <c r="F181" s="28"/>
      <c r="G181" s="28"/>
      <c r="H181" s="28"/>
      <c r="I181" s="49"/>
      <c r="J181" s="49"/>
      <c r="K181" s="80"/>
      <c r="L181" s="106"/>
      <c r="M181" s="34"/>
      <c r="N181" s="34"/>
      <c r="O181" s="34"/>
      <c r="P181" s="34"/>
      <c r="Q181" s="28"/>
      <c r="R181" s="49"/>
      <c r="S181" s="1"/>
      <c r="T181" s="95"/>
      <c r="U181" s="45"/>
      <c r="V181" s="34"/>
      <c r="W181" s="50"/>
    </row>
    <row r="182" ht="15.75" customHeight="1">
      <c r="A182" s="28"/>
      <c r="B182" s="28"/>
      <c r="C182" s="45"/>
      <c r="D182" s="45"/>
      <c r="E182" s="50"/>
      <c r="F182" s="28"/>
      <c r="G182" s="28"/>
      <c r="H182" s="28"/>
      <c r="I182" s="49"/>
      <c r="J182" s="49"/>
      <c r="K182" s="80"/>
      <c r="L182" s="106"/>
      <c r="M182" s="34"/>
      <c r="N182" s="34"/>
      <c r="O182" s="34"/>
      <c r="P182" s="34"/>
      <c r="Q182" s="28"/>
      <c r="R182" s="49"/>
      <c r="S182" s="1"/>
      <c r="T182" s="95"/>
      <c r="U182" s="45"/>
      <c r="V182" s="34"/>
      <c r="W182" s="50"/>
    </row>
    <row r="183" ht="15.75" customHeight="1">
      <c r="A183" s="28"/>
      <c r="B183" s="28"/>
      <c r="C183" s="45"/>
      <c r="D183" s="45"/>
      <c r="E183" s="50"/>
      <c r="F183" s="28"/>
      <c r="G183" s="28"/>
      <c r="H183" s="28"/>
      <c r="I183" s="49"/>
      <c r="J183" s="49"/>
      <c r="K183" s="80"/>
      <c r="L183" s="106"/>
      <c r="M183" s="34"/>
      <c r="N183" s="34"/>
      <c r="O183" s="34"/>
      <c r="P183" s="34"/>
      <c r="Q183" s="28"/>
      <c r="R183" s="49"/>
      <c r="S183" s="1"/>
      <c r="T183" s="95"/>
      <c r="U183" s="45"/>
      <c r="V183" s="34"/>
      <c r="W183" s="50"/>
    </row>
    <row r="184" ht="15.75" customHeight="1">
      <c r="A184" s="28"/>
      <c r="B184" s="28"/>
      <c r="C184" s="45"/>
      <c r="D184" s="45"/>
      <c r="E184" s="50"/>
      <c r="F184" s="28"/>
      <c r="G184" s="28"/>
      <c r="H184" s="28"/>
      <c r="I184" s="49"/>
      <c r="J184" s="49"/>
      <c r="K184" s="80"/>
      <c r="L184" s="106"/>
      <c r="M184" s="34"/>
      <c r="N184" s="34"/>
      <c r="O184" s="34"/>
      <c r="P184" s="34"/>
      <c r="Q184" s="28"/>
      <c r="R184" s="49"/>
      <c r="S184" s="1"/>
      <c r="T184" s="95"/>
      <c r="U184" s="45"/>
      <c r="V184" s="34"/>
      <c r="W184" s="50"/>
    </row>
    <row r="185" ht="15.75" customHeight="1">
      <c r="A185" s="28"/>
      <c r="B185" s="28"/>
      <c r="C185" s="45"/>
      <c r="D185" s="45"/>
      <c r="E185" s="50"/>
      <c r="F185" s="28"/>
      <c r="G185" s="28"/>
      <c r="H185" s="28"/>
      <c r="I185" s="49"/>
      <c r="J185" s="49"/>
      <c r="K185" s="80"/>
      <c r="L185" s="106"/>
      <c r="M185" s="34"/>
      <c r="N185" s="34"/>
      <c r="O185" s="34"/>
      <c r="P185" s="34"/>
      <c r="Q185" s="28"/>
      <c r="R185" s="49"/>
      <c r="S185" s="1"/>
      <c r="T185" s="95"/>
      <c r="U185" s="45"/>
      <c r="V185" s="34"/>
      <c r="W185" s="50"/>
    </row>
    <row r="186" ht="15.75" customHeight="1">
      <c r="A186" s="28"/>
      <c r="B186" s="28"/>
      <c r="C186" s="45"/>
      <c r="D186" s="45"/>
      <c r="E186" s="50"/>
      <c r="F186" s="28"/>
      <c r="G186" s="28"/>
      <c r="H186" s="28"/>
      <c r="I186" s="49"/>
      <c r="J186" s="49"/>
      <c r="K186" s="80"/>
      <c r="L186" s="106"/>
      <c r="M186" s="34"/>
      <c r="N186" s="34"/>
      <c r="O186" s="34"/>
      <c r="P186" s="34"/>
      <c r="Q186" s="28"/>
      <c r="R186" s="49"/>
      <c r="S186" s="1"/>
      <c r="T186" s="95"/>
      <c r="U186" s="45"/>
      <c r="V186" s="34"/>
      <c r="W186" s="50"/>
    </row>
    <row r="187" ht="15.75" customHeight="1">
      <c r="A187" s="28"/>
      <c r="B187" s="28"/>
      <c r="C187" s="45"/>
      <c r="D187" s="45"/>
      <c r="E187" s="50"/>
      <c r="F187" s="28"/>
      <c r="G187" s="28"/>
      <c r="H187" s="28"/>
      <c r="I187" s="49"/>
      <c r="J187" s="49"/>
      <c r="K187" s="80"/>
      <c r="L187" s="106"/>
      <c r="M187" s="34"/>
      <c r="N187" s="34"/>
      <c r="O187" s="34"/>
      <c r="P187" s="34"/>
      <c r="Q187" s="28"/>
      <c r="R187" s="49"/>
      <c r="S187" s="1"/>
      <c r="T187" s="95"/>
      <c r="U187" s="45"/>
      <c r="V187" s="34"/>
      <c r="W187" s="50"/>
    </row>
    <row r="188" ht="15.75" customHeight="1">
      <c r="A188" s="28"/>
      <c r="B188" s="28"/>
      <c r="C188" s="45"/>
      <c r="D188" s="45"/>
      <c r="E188" s="50"/>
      <c r="F188" s="28"/>
      <c r="G188" s="28"/>
      <c r="H188" s="28"/>
      <c r="I188" s="49"/>
      <c r="J188" s="49"/>
      <c r="K188" s="80"/>
      <c r="L188" s="106"/>
      <c r="M188" s="34"/>
      <c r="N188" s="34"/>
      <c r="O188" s="34"/>
      <c r="P188" s="34"/>
      <c r="Q188" s="28"/>
      <c r="R188" s="49"/>
      <c r="S188" s="1"/>
      <c r="T188" s="95"/>
      <c r="U188" s="45"/>
      <c r="V188" s="34"/>
      <c r="W188" s="50"/>
    </row>
    <row r="189" ht="15.75" customHeight="1">
      <c r="A189" s="28"/>
      <c r="B189" s="28"/>
      <c r="C189" s="45"/>
      <c r="D189" s="45"/>
      <c r="E189" s="50"/>
      <c r="F189" s="28"/>
      <c r="G189" s="28"/>
      <c r="H189" s="28"/>
      <c r="I189" s="49"/>
      <c r="J189" s="49"/>
      <c r="K189" s="80"/>
      <c r="L189" s="106"/>
      <c r="M189" s="34"/>
      <c r="N189" s="34"/>
      <c r="O189" s="34"/>
      <c r="P189" s="34"/>
      <c r="Q189" s="28"/>
      <c r="R189" s="49"/>
      <c r="S189" s="1"/>
      <c r="T189" s="95"/>
      <c r="U189" s="45"/>
      <c r="V189" s="34"/>
      <c r="W189" s="50"/>
    </row>
    <row r="190" ht="15.75" customHeight="1">
      <c r="A190" s="28"/>
      <c r="B190" s="28"/>
      <c r="C190" s="45"/>
      <c r="D190" s="45"/>
      <c r="E190" s="50"/>
      <c r="F190" s="28"/>
      <c r="G190" s="28"/>
      <c r="H190" s="28"/>
      <c r="I190" s="49"/>
      <c r="J190" s="49"/>
      <c r="K190" s="80"/>
      <c r="L190" s="106"/>
      <c r="M190" s="34"/>
      <c r="N190" s="34"/>
      <c r="O190" s="34"/>
      <c r="P190" s="34"/>
      <c r="Q190" s="28"/>
      <c r="R190" s="49"/>
      <c r="S190" s="1"/>
      <c r="T190" s="95"/>
      <c r="U190" s="45"/>
      <c r="V190" s="34"/>
      <c r="W190" s="50"/>
    </row>
    <row r="191" ht="15.75" customHeight="1">
      <c r="A191" s="28"/>
      <c r="B191" s="28"/>
      <c r="C191" s="45"/>
      <c r="D191" s="45"/>
      <c r="E191" s="50"/>
      <c r="F191" s="28"/>
      <c r="G191" s="28"/>
      <c r="H191" s="28"/>
      <c r="I191" s="49"/>
      <c r="J191" s="49"/>
      <c r="K191" s="80"/>
      <c r="L191" s="106"/>
      <c r="M191" s="34"/>
      <c r="N191" s="34"/>
      <c r="O191" s="34"/>
      <c r="P191" s="34"/>
      <c r="Q191" s="28"/>
      <c r="R191" s="49"/>
      <c r="S191" s="1"/>
      <c r="T191" s="95"/>
      <c r="U191" s="45"/>
      <c r="V191" s="34"/>
      <c r="W191" s="50"/>
    </row>
    <row r="192" ht="15.75" customHeight="1">
      <c r="A192" s="28"/>
      <c r="B192" s="28"/>
      <c r="C192" s="45"/>
      <c r="D192" s="45"/>
      <c r="E192" s="50"/>
      <c r="F192" s="28"/>
      <c r="G192" s="28"/>
      <c r="H192" s="28"/>
      <c r="I192" s="49"/>
      <c r="J192" s="49"/>
      <c r="K192" s="80"/>
      <c r="L192" s="106"/>
      <c r="M192" s="34"/>
      <c r="N192" s="34"/>
      <c r="O192" s="34"/>
      <c r="P192" s="34"/>
      <c r="Q192" s="28"/>
      <c r="R192" s="49"/>
      <c r="S192" s="1"/>
      <c r="T192" s="95"/>
      <c r="U192" s="45"/>
      <c r="V192" s="34"/>
      <c r="W192" s="50"/>
    </row>
    <row r="193" ht="15.75" customHeight="1">
      <c r="A193" s="28"/>
      <c r="B193" s="28"/>
      <c r="C193" s="45"/>
      <c r="D193" s="45"/>
      <c r="E193" s="50"/>
      <c r="F193" s="28"/>
      <c r="G193" s="28"/>
      <c r="H193" s="28"/>
      <c r="I193" s="49"/>
      <c r="J193" s="49"/>
      <c r="K193" s="80"/>
      <c r="L193" s="106"/>
      <c r="M193" s="34"/>
      <c r="N193" s="34"/>
      <c r="O193" s="34"/>
      <c r="P193" s="34"/>
      <c r="Q193" s="28"/>
      <c r="R193" s="49"/>
      <c r="S193" s="1"/>
      <c r="T193" s="95"/>
      <c r="U193" s="45"/>
      <c r="V193" s="34"/>
      <c r="W193" s="50"/>
    </row>
    <row r="194" ht="15.75" customHeight="1">
      <c r="A194" s="28"/>
      <c r="B194" s="28"/>
      <c r="C194" s="45"/>
      <c r="D194" s="45"/>
      <c r="E194" s="50"/>
      <c r="F194" s="28"/>
      <c r="G194" s="28"/>
      <c r="H194" s="28"/>
      <c r="I194" s="49"/>
      <c r="J194" s="49"/>
      <c r="K194" s="80"/>
      <c r="L194" s="106"/>
      <c r="M194" s="34"/>
      <c r="N194" s="34"/>
      <c r="O194" s="34"/>
      <c r="P194" s="34"/>
      <c r="Q194" s="28"/>
      <c r="R194" s="49"/>
      <c r="S194" s="1"/>
      <c r="T194" s="95"/>
      <c r="U194" s="45"/>
      <c r="V194" s="34"/>
      <c r="W194" s="50"/>
    </row>
    <row r="195" ht="15.75" customHeight="1">
      <c r="A195" s="28"/>
      <c r="B195" s="28"/>
      <c r="C195" s="45"/>
      <c r="D195" s="45"/>
      <c r="E195" s="50"/>
      <c r="F195" s="28"/>
      <c r="G195" s="28"/>
      <c r="H195" s="28"/>
      <c r="I195" s="49"/>
      <c r="J195" s="49"/>
      <c r="K195" s="80"/>
      <c r="L195" s="106"/>
      <c r="M195" s="34"/>
      <c r="N195" s="34"/>
      <c r="O195" s="34"/>
      <c r="P195" s="34"/>
      <c r="Q195" s="28"/>
      <c r="R195" s="49"/>
      <c r="S195" s="1"/>
      <c r="T195" s="95"/>
      <c r="U195" s="45"/>
      <c r="V195" s="34"/>
      <c r="W195" s="50"/>
    </row>
    <row r="196" ht="15.75" customHeight="1">
      <c r="A196" s="28"/>
      <c r="B196" s="28"/>
      <c r="C196" s="45"/>
      <c r="D196" s="45"/>
      <c r="E196" s="50"/>
      <c r="F196" s="28"/>
      <c r="G196" s="28"/>
      <c r="H196" s="28"/>
      <c r="I196" s="49"/>
      <c r="J196" s="49"/>
      <c r="K196" s="80"/>
      <c r="L196" s="106"/>
      <c r="M196" s="34"/>
      <c r="N196" s="34"/>
      <c r="O196" s="34"/>
      <c r="P196" s="34"/>
      <c r="Q196" s="28"/>
      <c r="R196" s="49"/>
      <c r="S196" s="1"/>
      <c r="T196" s="95"/>
      <c r="U196" s="45"/>
      <c r="V196" s="34"/>
      <c r="W196" s="50"/>
    </row>
    <row r="197" ht="15.75" customHeight="1">
      <c r="A197" s="28"/>
      <c r="B197" s="28"/>
      <c r="C197" s="45"/>
      <c r="D197" s="45"/>
      <c r="E197" s="50"/>
      <c r="F197" s="28"/>
      <c r="G197" s="28"/>
      <c r="H197" s="28"/>
      <c r="I197" s="49"/>
      <c r="J197" s="49"/>
      <c r="K197" s="80"/>
      <c r="L197" s="106"/>
      <c r="M197" s="34"/>
      <c r="N197" s="34"/>
      <c r="O197" s="34"/>
      <c r="P197" s="34"/>
      <c r="Q197" s="28"/>
      <c r="R197" s="49"/>
      <c r="S197" s="1"/>
      <c r="T197" s="95"/>
      <c r="U197" s="45"/>
      <c r="V197" s="34"/>
      <c r="W197" s="50"/>
    </row>
    <row r="198" ht="15.75" customHeight="1">
      <c r="A198" s="28"/>
      <c r="B198" s="28"/>
      <c r="C198" s="45"/>
      <c r="D198" s="45"/>
      <c r="E198" s="50"/>
      <c r="F198" s="28"/>
      <c r="G198" s="28"/>
      <c r="H198" s="28"/>
      <c r="I198" s="49"/>
      <c r="J198" s="49"/>
      <c r="K198" s="80"/>
      <c r="L198" s="106"/>
      <c r="M198" s="34"/>
      <c r="N198" s="34"/>
      <c r="O198" s="34"/>
      <c r="P198" s="34"/>
      <c r="Q198" s="28"/>
      <c r="R198" s="49"/>
      <c r="S198" s="1"/>
      <c r="T198" s="95"/>
      <c r="U198" s="45"/>
      <c r="V198" s="34"/>
      <c r="W198" s="50"/>
    </row>
    <row r="199" ht="15.75" customHeight="1">
      <c r="A199" s="28"/>
      <c r="B199" s="28"/>
      <c r="C199" s="45"/>
      <c r="D199" s="45"/>
      <c r="E199" s="50"/>
      <c r="F199" s="28"/>
      <c r="G199" s="28"/>
      <c r="H199" s="28"/>
      <c r="I199" s="49"/>
      <c r="J199" s="49"/>
      <c r="K199" s="80"/>
      <c r="L199" s="106"/>
      <c r="M199" s="34"/>
      <c r="N199" s="34"/>
      <c r="O199" s="34"/>
      <c r="P199" s="34"/>
      <c r="Q199" s="28"/>
      <c r="R199" s="49"/>
      <c r="S199" s="1"/>
      <c r="T199" s="95"/>
      <c r="U199" s="45"/>
      <c r="V199" s="34"/>
      <c r="W199" s="50"/>
    </row>
    <row r="200" ht="15.75" customHeight="1">
      <c r="A200" s="107" t="s">
        <v>74</v>
      </c>
      <c r="B200" s="108"/>
      <c r="C200" s="109"/>
      <c r="D200" s="109"/>
      <c r="E200" s="110"/>
      <c r="F200" s="108"/>
      <c r="G200" s="108"/>
      <c r="H200" s="108"/>
      <c r="I200" s="108"/>
      <c r="J200" s="108"/>
      <c r="K200" s="111"/>
      <c r="L200" s="108"/>
      <c r="M200" s="112"/>
      <c r="N200" s="112"/>
      <c r="O200" s="113">
        <f>SUM(O201:O219)</f>
        <v>0</v>
      </c>
      <c r="P200" s="112"/>
      <c r="Q200" s="108"/>
      <c r="R200" s="108"/>
      <c r="S200" s="108"/>
      <c r="T200" s="108"/>
      <c r="U200" s="114">
        <f t="shared" ref="U200:V200" si="13">SUM(U201:U219)</f>
        <v>0</v>
      </c>
      <c r="V200" s="113">
        <f t="shared" si="13"/>
        <v>0</v>
      </c>
      <c r="W200" s="115" t="str">
        <f>AVERAGE(W201:W219)</f>
        <v>#DIV/0!</v>
      </c>
    </row>
    <row r="201" ht="15.75" customHeight="1">
      <c r="A201" s="28"/>
      <c r="B201" s="28"/>
      <c r="C201" s="45"/>
      <c r="D201" s="45"/>
      <c r="E201" s="50"/>
      <c r="F201" s="28"/>
      <c r="G201" s="28"/>
      <c r="H201" s="28"/>
      <c r="I201" s="49"/>
      <c r="J201" s="49"/>
      <c r="K201" s="80"/>
      <c r="L201" s="106"/>
      <c r="M201" s="34"/>
      <c r="N201" s="34"/>
      <c r="O201" s="34"/>
      <c r="P201" s="34"/>
      <c r="Q201" s="28"/>
      <c r="R201" s="49"/>
      <c r="S201" s="1"/>
      <c r="T201" s="95"/>
      <c r="U201" s="45"/>
      <c r="V201" s="34"/>
      <c r="W201" s="50"/>
    </row>
    <row r="202" ht="15.75" customHeight="1">
      <c r="A202" s="28"/>
      <c r="B202" s="28"/>
      <c r="C202" s="45"/>
      <c r="D202" s="45"/>
      <c r="E202" s="50"/>
      <c r="F202" s="28"/>
      <c r="G202" s="28"/>
      <c r="H202" s="28"/>
      <c r="I202" s="49"/>
      <c r="J202" s="49"/>
      <c r="K202" s="80"/>
      <c r="L202" s="106"/>
      <c r="M202" s="34"/>
      <c r="N202" s="34"/>
      <c r="O202" s="34"/>
      <c r="P202" s="34"/>
      <c r="Q202" s="28"/>
      <c r="R202" s="49"/>
      <c r="S202" s="1"/>
      <c r="T202" s="95"/>
      <c r="U202" s="45"/>
      <c r="V202" s="34"/>
      <c r="W202" s="50"/>
    </row>
    <row r="203" ht="15.75" customHeight="1">
      <c r="A203" s="28"/>
      <c r="B203" s="28"/>
      <c r="C203" s="45"/>
      <c r="D203" s="45"/>
      <c r="E203" s="50"/>
      <c r="F203" s="28"/>
      <c r="G203" s="28"/>
      <c r="H203" s="28"/>
      <c r="I203" s="49"/>
      <c r="J203" s="49"/>
      <c r="K203" s="80"/>
      <c r="L203" s="106"/>
      <c r="M203" s="34"/>
      <c r="N203" s="34"/>
      <c r="O203" s="34"/>
      <c r="P203" s="34"/>
      <c r="Q203" s="28"/>
      <c r="R203" s="49"/>
      <c r="S203" s="1"/>
      <c r="T203" s="95"/>
      <c r="U203" s="45"/>
      <c r="V203" s="34"/>
      <c r="W203" s="50"/>
    </row>
    <row r="204" ht="15.75" customHeight="1">
      <c r="A204" s="28"/>
      <c r="B204" s="28"/>
      <c r="C204" s="45"/>
      <c r="D204" s="45"/>
      <c r="E204" s="50"/>
      <c r="F204" s="28"/>
      <c r="G204" s="28"/>
      <c r="H204" s="28"/>
      <c r="I204" s="49"/>
      <c r="J204" s="49"/>
      <c r="K204" s="80"/>
      <c r="L204" s="106"/>
      <c r="M204" s="34"/>
      <c r="N204" s="34"/>
      <c r="O204" s="34"/>
      <c r="P204" s="34"/>
      <c r="Q204" s="28"/>
      <c r="R204" s="49"/>
      <c r="S204" s="1"/>
      <c r="T204" s="95"/>
      <c r="U204" s="45"/>
      <c r="V204" s="34"/>
      <c r="W204" s="50"/>
    </row>
    <row r="205" ht="15.75" customHeight="1">
      <c r="A205" s="28"/>
      <c r="B205" s="28"/>
      <c r="C205" s="45"/>
      <c r="D205" s="45"/>
      <c r="E205" s="50"/>
      <c r="F205" s="28"/>
      <c r="G205" s="28"/>
      <c r="H205" s="28"/>
      <c r="I205" s="49"/>
      <c r="J205" s="49"/>
      <c r="K205" s="80"/>
      <c r="L205" s="106"/>
      <c r="M205" s="34"/>
      <c r="N205" s="34"/>
      <c r="O205" s="34"/>
      <c r="P205" s="34"/>
      <c r="Q205" s="28"/>
      <c r="R205" s="49"/>
      <c r="S205" s="1"/>
      <c r="T205" s="95"/>
      <c r="U205" s="45"/>
      <c r="V205" s="34"/>
      <c r="W205" s="50"/>
    </row>
    <row r="206" ht="15.75" customHeight="1">
      <c r="A206" s="28"/>
      <c r="B206" s="28"/>
      <c r="C206" s="45"/>
      <c r="D206" s="45"/>
      <c r="E206" s="50"/>
      <c r="F206" s="28"/>
      <c r="G206" s="28"/>
      <c r="H206" s="28"/>
      <c r="I206" s="49"/>
      <c r="J206" s="49"/>
      <c r="K206" s="80"/>
      <c r="L206" s="106"/>
      <c r="M206" s="34"/>
      <c r="N206" s="34"/>
      <c r="O206" s="34"/>
      <c r="P206" s="34"/>
      <c r="Q206" s="28"/>
      <c r="R206" s="49"/>
      <c r="S206" s="1"/>
      <c r="T206" s="95"/>
      <c r="U206" s="45"/>
      <c r="V206" s="34"/>
      <c r="W206" s="50"/>
    </row>
    <row r="207" ht="15.75" customHeight="1">
      <c r="A207" s="28"/>
      <c r="B207" s="28"/>
      <c r="C207" s="45"/>
      <c r="D207" s="45"/>
      <c r="E207" s="50"/>
      <c r="F207" s="28"/>
      <c r="G207" s="28"/>
      <c r="H207" s="28"/>
      <c r="I207" s="49"/>
      <c r="J207" s="49"/>
      <c r="K207" s="80"/>
      <c r="L207" s="106"/>
      <c r="M207" s="34"/>
      <c r="N207" s="34"/>
      <c r="O207" s="34"/>
      <c r="P207" s="34"/>
      <c r="Q207" s="28"/>
      <c r="R207" s="49"/>
      <c r="S207" s="1"/>
      <c r="T207" s="95"/>
      <c r="U207" s="45"/>
      <c r="V207" s="34"/>
      <c r="W207" s="50"/>
    </row>
    <row r="208" ht="15.75" customHeight="1">
      <c r="A208" s="28"/>
      <c r="B208" s="28"/>
      <c r="C208" s="45"/>
      <c r="D208" s="45"/>
      <c r="E208" s="50"/>
      <c r="F208" s="28"/>
      <c r="G208" s="28"/>
      <c r="H208" s="28"/>
      <c r="I208" s="49"/>
      <c r="J208" s="49"/>
      <c r="K208" s="80"/>
      <c r="L208" s="106"/>
      <c r="M208" s="34"/>
      <c r="N208" s="34"/>
      <c r="O208" s="34"/>
      <c r="P208" s="34"/>
      <c r="Q208" s="28"/>
      <c r="R208" s="49"/>
      <c r="S208" s="1"/>
      <c r="T208" s="95"/>
      <c r="U208" s="45"/>
      <c r="V208" s="34"/>
      <c r="W208" s="50"/>
    </row>
    <row r="209" ht="15.75" customHeight="1">
      <c r="A209" s="28"/>
      <c r="B209" s="28"/>
      <c r="C209" s="45"/>
      <c r="D209" s="45"/>
      <c r="E209" s="50"/>
      <c r="F209" s="28"/>
      <c r="G209" s="28"/>
      <c r="H209" s="28"/>
      <c r="I209" s="49"/>
      <c r="J209" s="49"/>
      <c r="K209" s="80"/>
      <c r="L209" s="106"/>
      <c r="M209" s="34"/>
      <c r="N209" s="34"/>
      <c r="O209" s="34"/>
      <c r="P209" s="34"/>
      <c r="Q209" s="28"/>
      <c r="R209" s="49"/>
      <c r="S209" s="1"/>
      <c r="T209" s="95"/>
      <c r="U209" s="45"/>
      <c r="V209" s="34"/>
      <c r="W209" s="50"/>
    </row>
    <row r="210" ht="15.75" customHeight="1">
      <c r="A210" s="28"/>
      <c r="B210" s="28"/>
      <c r="C210" s="45"/>
      <c r="D210" s="45"/>
      <c r="E210" s="50"/>
      <c r="F210" s="28"/>
      <c r="G210" s="28"/>
      <c r="H210" s="28"/>
      <c r="I210" s="49"/>
      <c r="J210" s="49"/>
      <c r="K210" s="80"/>
      <c r="L210" s="106"/>
      <c r="M210" s="34"/>
      <c r="N210" s="34"/>
      <c r="O210" s="34"/>
      <c r="P210" s="34"/>
      <c r="Q210" s="28"/>
      <c r="R210" s="49"/>
      <c r="S210" s="1"/>
      <c r="T210" s="95"/>
      <c r="U210" s="45"/>
      <c r="V210" s="34"/>
      <c r="W210" s="50"/>
    </row>
    <row r="211" ht="15.75" customHeight="1">
      <c r="A211" s="28"/>
      <c r="B211" s="28"/>
      <c r="C211" s="45"/>
      <c r="D211" s="45"/>
      <c r="E211" s="50"/>
      <c r="F211" s="28"/>
      <c r="G211" s="28"/>
      <c r="H211" s="28"/>
      <c r="I211" s="49"/>
      <c r="J211" s="49"/>
      <c r="K211" s="80"/>
      <c r="L211" s="106"/>
      <c r="M211" s="34"/>
      <c r="N211" s="34"/>
      <c r="O211" s="34"/>
      <c r="P211" s="34"/>
      <c r="Q211" s="28"/>
      <c r="R211" s="49"/>
      <c r="S211" s="1"/>
      <c r="T211" s="95"/>
      <c r="U211" s="45"/>
      <c r="V211" s="34"/>
      <c r="W211" s="50"/>
    </row>
    <row r="212" ht="15.75" customHeight="1">
      <c r="A212" s="28"/>
      <c r="B212" s="28"/>
      <c r="C212" s="45"/>
      <c r="D212" s="45"/>
      <c r="E212" s="50"/>
      <c r="F212" s="28"/>
      <c r="G212" s="28"/>
      <c r="H212" s="28"/>
      <c r="I212" s="49"/>
      <c r="J212" s="49"/>
      <c r="K212" s="80"/>
      <c r="L212" s="106"/>
      <c r="M212" s="34"/>
      <c r="N212" s="34"/>
      <c r="O212" s="34"/>
      <c r="P212" s="34"/>
      <c r="Q212" s="28"/>
      <c r="R212" s="49"/>
      <c r="S212" s="1"/>
      <c r="T212" s="95"/>
      <c r="U212" s="45"/>
      <c r="V212" s="34"/>
      <c r="W212" s="50"/>
    </row>
    <row r="213" ht="15.75" customHeight="1">
      <c r="A213" s="28"/>
      <c r="B213" s="28"/>
      <c r="C213" s="45"/>
      <c r="D213" s="45"/>
      <c r="E213" s="50"/>
      <c r="F213" s="28"/>
      <c r="G213" s="28"/>
      <c r="H213" s="28"/>
      <c r="I213" s="49"/>
      <c r="J213" s="49"/>
      <c r="K213" s="80"/>
      <c r="L213" s="106"/>
      <c r="M213" s="34"/>
      <c r="N213" s="34"/>
      <c r="O213" s="34"/>
      <c r="P213" s="34"/>
      <c r="Q213" s="28"/>
      <c r="R213" s="49"/>
      <c r="S213" s="1"/>
      <c r="T213" s="95"/>
      <c r="U213" s="45"/>
      <c r="V213" s="34"/>
      <c r="W213" s="50"/>
    </row>
    <row r="214" ht="15.75" customHeight="1">
      <c r="A214" s="28"/>
      <c r="B214" s="28"/>
      <c r="C214" s="45"/>
      <c r="D214" s="45"/>
      <c r="E214" s="50"/>
      <c r="F214" s="28"/>
      <c r="G214" s="28"/>
      <c r="H214" s="28"/>
      <c r="I214" s="49"/>
      <c r="J214" s="49"/>
      <c r="K214" s="80"/>
      <c r="L214" s="106"/>
      <c r="M214" s="34"/>
      <c r="N214" s="34"/>
      <c r="O214" s="34"/>
      <c r="P214" s="34"/>
      <c r="Q214" s="28"/>
      <c r="R214" s="49"/>
      <c r="S214" s="1"/>
      <c r="T214" s="95"/>
      <c r="U214" s="45"/>
      <c r="V214" s="34"/>
      <c r="W214" s="50"/>
    </row>
    <row r="215" ht="15.75" customHeight="1">
      <c r="A215" s="28"/>
      <c r="B215" s="28"/>
      <c r="C215" s="45"/>
      <c r="D215" s="45"/>
      <c r="E215" s="50"/>
      <c r="F215" s="28"/>
      <c r="G215" s="28"/>
      <c r="H215" s="28"/>
      <c r="I215" s="49"/>
      <c r="J215" s="49"/>
      <c r="K215" s="80"/>
      <c r="L215" s="106"/>
      <c r="M215" s="34"/>
      <c r="N215" s="34"/>
      <c r="O215" s="34"/>
      <c r="P215" s="34"/>
      <c r="Q215" s="28"/>
      <c r="R215" s="49"/>
      <c r="S215" s="1"/>
      <c r="T215" s="95"/>
      <c r="U215" s="45"/>
      <c r="V215" s="34"/>
      <c r="W215" s="50"/>
    </row>
    <row r="216" ht="15.75" customHeight="1">
      <c r="A216" s="28"/>
      <c r="B216" s="28"/>
      <c r="C216" s="45"/>
      <c r="D216" s="45"/>
      <c r="E216" s="50"/>
      <c r="F216" s="28"/>
      <c r="G216" s="28"/>
      <c r="H216" s="28"/>
      <c r="I216" s="49"/>
      <c r="J216" s="49"/>
      <c r="K216" s="80"/>
      <c r="L216" s="106"/>
      <c r="M216" s="34"/>
      <c r="N216" s="34"/>
      <c r="O216" s="34"/>
      <c r="P216" s="34"/>
      <c r="Q216" s="28"/>
      <c r="R216" s="49"/>
      <c r="S216" s="1"/>
      <c r="T216" s="95"/>
      <c r="U216" s="45"/>
      <c r="V216" s="34"/>
      <c r="W216" s="50"/>
    </row>
    <row r="217" ht="15.75" customHeight="1">
      <c r="A217" s="28"/>
      <c r="B217" s="28"/>
      <c r="C217" s="45"/>
      <c r="D217" s="45"/>
      <c r="E217" s="50"/>
      <c r="F217" s="28"/>
      <c r="G217" s="28"/>
      <c r="H217" s="28"/>
      <c r="I217" s="49"/>
      <c r="J217" s="49"/>
      <c r="K217" s="80"/>
      <c r="L217" s="106"/>
      <c r="M217" s="34"/>
      <c r="N217" s="34"/>
      <c r="O217" s="34"/>
      <c r="P217" s="34"/>
      <c r="Q217" s="28"/>
      <c r="R217" s="49"/>
      <c r="S217" s="1"/>
      <c r="T217" s="95"/>
      <c r="U217" s="45"/>
      <c r="V217" s="34"/>
      <c r="W217" s="50"/>
    </row>
    <row r="218" ht="15.75" customHeight="1">
      <c r="A218" s="28"/>
      <c r="B218" s="28"/>
      <c r="C218" s="45"/>
      <c r="D218" s="45"/>
      <c r="E218" s="50"/>
      <c r="F218" s="28"/>
      <c r="G218" s="28"/>
      <c r="H218" s="28"/>
      <c r="I218" s="49"/>
      <c r="J218" s="49"/>
      <c r="K218" s="80"/>
      <c r="L218" s="106"/>
      <c r="M218" s="34"/>
      <c r="N218" s="34"/>
      <c r="O218" s="34"/>
      <c r="P218" s="34"/>
      <c r="Q218" s="28"/>
      <c r="R218" s="49"/>
      <c r="S218" s="1"/>
      <c r="T218" s="95"/>
      <c r="U218" s="45"/>
      <c r="V218" s="34"/>
      <c r="W218" s="50"/>
    </row>
    <row r="219" ht="15.75" customHeight="1">
      <c r="A219" s="28"/>
      <c r="B219" s="28"/>
      <c r="C219" s="45"/>
      <c r="D219" s="45"/>
      <c r="E219" s="50"/>
      <c r="F219" s="28"/>
      <c r="G219" s="28"/>
      <c r="H219" s="28"/>
      <c r="I219" s="49"/>
      <c r="J219" s="49"/>
      <c r="K219" s="80"/>
      <c r="L219" s="106"/>
      <c r="M219" s="34"/>
      <c r="N219" s="34"/>
      <c r="O219" s="34"/>
      <c r="P219" s="34"/>
      <c r="Q219" s="28"/>
      <c r="R219" s="49"/>
      <c r="S219" s="1"/>
      <c r="T219" s="95"/>
      <c r="U219" s="45"/>
      <c r="V219" s="34"/>
      <c r="W219" s="50"/>
    </row>
    <row r="220" ht="15.75" customHeight="1">
      <c r="A220" s="107" t="s">
        <v>75</v>
      </c>
      <c r="B220" s="108"/>
      <c r="C220" s="109"/>
      <c r="D220" s="109"/>
      <c r="E220" s="110"/>
      <c r="F220" s="108"/>
      <c r="G220" s="108"/>
      <c r="H220" s="108"/>
      <c r="I220" s="108"/>
      <c r="J220" s="108"/>
      <c r="K220" s="111"/>
      <c r="L220" s="108"/>
      <c r="M220" s="112"/>
      <c r="N220" s="112"/>
      <c r="O220" s="113">
        <f>SUM(O221:O239)</f>
        <v>0</v>
      </c>
      <c r="P220" s="112"/>
      <c r="Q220" s="108"/>
      <c r="R220" s="108"/>
      <c r="S220" s="108"/>
      <c r="T220" s="108"/>
      <c r="U220" s="114">
        <f t="shared" ref="U220:V220" si="14">SUM(U221:U239)</f>
        <v>0</v>
      </c>
      <c r="V220" s="113">
        <f t="shared" si="14"/>
        <v>0</v>
      </c>
      <c r="W220" s="115" t="str">
        <f>AVERAGE(W221:W239)</f>
        <v>#DIV/0!</v>
      </c>
    </row>
    <row r="221" ht="15.75" customHeight="1">
      <c r="A221" s="28"/>
      <c r="B221" s="28"/>
      <c r="C221" s="45"/>
      <c r="D221" s="45"/>
      <c r="E221" s="50"/>
      <c r="F221" s="28"/>
      <c r="G221" s="28"/>
      <c r="H221" s="28"/>
      <c r="I221" s="49"/>
      <c r="J221" s="49"/>
      <c r="K221" s="80"/>
      <c r="L221" s="106"/>
      <c r="M221" s="34"/>
      <c r="N221" s="34"/>
      <c r="O221" s="34"/>
      <c r="P221" s="34"/>
      <c r="Q221" s="28"/>
      <c r="R221" s="49"/>
      <c r="S221" s="1"/>
      <c r="T221" s="95"/>
      <c r="U221" s="45"/>
      <c r="V221" s="34"/>
      <c r="W221" s="50"/>
    </row>
    <row r="222" ht="15.75" customHeight="1">
      <c r="A222" s="28"/>
      <c r="B222" s="28"/>
      <c r="C222" s="45"/>
      <c r="D222" s="45"/>
      <c r="E222" s="50"/>
      <c r="F222" s="28"/>
      <c r="G222" s="28"/>
      <c r="H222" s="28"/>
      <c r="I222" s="49"/>
      <c r="J222" s="49"/>
      <c r="K222" s="80"/>
      <c r="L222" s="106"/>
      <c r="M222" s="34"/>
      <c r="N222" s="34"/>
      <c r="O222" s="34"/>
      <c r="P222" s="34"/>
      <c r="Q222" s="28"/>
      <c r="R222" s="49"/>
      <c r="S222" s="1"/>
      <c r="T222" s="95"/>
      <c r="U222" s="45"/>
      <c r="V222" s="34"/>
      <c r="W222" s="50"/>
    </row>
    <row r="223" ht="15.75" customHeight="1">
      <c r="A223" s="28"/>
      <c r="B223" s="28"/>
      <c r="C223" s="45"/>
      <c r="D223" s="45"/>
      <c r="E223" s="50"/>
      <c r="F223" s="28"/>
      <c r="G223" s="28"/>
      <c r="H223" s="28"/>
      <c r="I223" s="49"/>
      <c r="J223" s="49"/>
      <c r="K223" s="80"/>
      <c r="L223" s="106"/>
      <c r="M223" s="34"/>
      <c r="N223" s="34"/>
      <c r="O223" s="34"/>
      <c r="P223" s="34"/>
      <c r="Q223" s="28"/>
      <c r="R223" s="49"/>
      <c r="S223" s="1"/>
      <c r="T223" s="95"/>
      <c r="U223" s="45"/>
      <c r="V223" s="34"/>
      <c r="W223" s="50"/>
    </row>
    <row r="224" ht="15.75" customHeight="1">
      <c r="A224" s="28"/>
      <c r="B224" s="28"/>
      <c r="C224" s="45"/>
      <c r="D224" s="45"/>
      <c r="E224" s="50"/>
      <c r="F224" s="28"/>
      <c r="G224" s="28"/>
      <c r="H224" s="28"/>
      <c r="I224" s="49"/>
      <c r="J224" s="49"/>
      <c r="K224" s="80"/>
      <c r="L224" s="106"/>
      <c r="M224" s="34"/>
      <c r="N224" s="34"/>
      <c r="O224" s="34"/>
      <c r="P224" s="34"/>
      <c r="Q224" s="28"/>
      <c r="R224" s="49"/>
      <c r="S224" s="1"/>
      <c r="T224" s="95"/>
      <c r="U224" s="45"/>
      <c r="V224" s="34"/>
      <c r="W224" s="50"/>
    </row>
    <row r="225" ht="15.75" customHeight="1">
      <c r="A225" s="28"/>
      <c r="B225" s="28"/>
      <c r="C225" s="45"/>
      <c r="D225" s="45"/>
      <c r="E225" s="50"/>
      <c r="F225" s="28"/>
      <c r="G225" s="28"/>
      <c r="H225" s="28"/>
      <c r="I225" s="49"/>
      <c r="J225" s="49"/>
      <c r="K225" s="80"/>
      <c r="L225" s="106"/>
      <c r="M225" s="34"/>
      <c r="N225" s="34"/>
      <c r="O225" s="34"/>
      <c r="P225" s="34"/>
      <c r="Q225" s="28"/>
      <c r="R225" s="49"/>
      <c r="S225" s="1"/>
      <c r="T225" s="95"/>
      <c r="U225" s="45"/>
      <c r="V225" s="34"/>
      <c r="W225" s="50"/>
    </row>
    <row r="226" ht="15.75" customHeight="1">
      <c r="A226" s="28"/>
      <c r="B226" s="28"/>
      <c r="C226" s="45"/>
      <c r="D226" s="45"/>
      <c r="E226" s="50"/>
      <c r="F226" s="28"/>
      <c r="G226" s="28"/>
      <c r="H226" s="28"/>
      <c r="I226" s="49"/>
      <c r="J226" s="49"/>
      <c r="K226" s="80"/>
      <c r="L226" s="106"/>
      <c r="M226" s="34"/>
      <c r="N226" s="34"/>
      <c r="O226" s="34"/>
      <c r="P226" s="34"/>
      <c r="Q226" s="28"/>
      <c r="R226" s="49"/>
      <c r="S226" s="1"/>
      <c r="T226" s="95"/>
      <c r="U226" s="45"/>
      <c r="V226" s="34"/>
      <c r="W226" s="50"/>
    </row>
    <row r="227" ht="15.75" customHeight="1">
      <c r="A227" s="28"/>
      <c r="B227" s="28"/>
      <c r="C227" s="45"/>
      <c r="D227" s="45"/>
      <c r="E227" s="50"/>
      <c r="F227" s="28"/>
      <c r="G227" s="28"/>
      <c r="H227" s="28"/>
      <c r="I227" s="49"/>
      <c r="J227" s="49"/>
      <c r="K227" s="80"/>
      <c r="L227" s="106"/>
      <c r="M227" s="34"/>
      <c r="N227" s="34"/>
      <c r="O227" s="34"/>
      <c r="P227" s="34"/>
      <c r="Q227" s="28"/>
      <c r="R227" s="49"/>
      <c r="S227" s="1"/>
      <c r="T227" s="95"/>
      <c r="U227" s="45"/>
      <c r="V227" s="34"/>
      <c r="W227" s="50"/>
    </row>
    <row r="228" ht="15.75" customHeight="1">
      <c r="A228" s="28"/>
      <c r="B228" s="28"/>
      <c r="C228" s="45"/>
      <c r="D228" s="45"/>
      <c r="E228" s="50"/>
      <c r="F228" s="28"/>
      <c r="G228" s="28"/>
      <c r="H228" s="28"/>
      <c r="I228" s="49"/>
      <c r="J228" s="49"/>
      <c r="K228" s="80"/>
      <c r="L228" s="106"/>
      <c r="M228" s="34"/>
      <c r="N228" s="34"/>
      <c r="O228" s="34"/>
      <c r="P228" s="34"/>
      <c r="Q228" s="28"/>
      <c r="R228" s="49"/>
      <c r="S228" s="1"/>
      <c r="T228" s="95"/>
      <c r="U228" s="45"/>
      <c r="V228" s="34"/>
      <c r="W228" s="50"/>
    </row>
    <row r="229" ht="15.75" customHeight="1">
      <c r="A229" s="28"/>
      <c r="B229" s="28"/>
      <c r="C229" s="45"/>
      <c r="D229" s="45"/>
      <c r="E229" s="50"/>
      <c r="F229" s="28"/>
      <c r="G229" s="28"/>
      <c r="H229" s="28"/>
      <c r="I229" s="49"/>
      <c r="J229" s="49"/>
      <c r="K229" s="80"/>
      <c r="L229" s="106"/>
      <c r="M229" s="34"/>
      <c r="N229" s="34"/>
      <c r="O229" s="34"/>
      <c r="P229" s="34"/>
      <c r="Q229" s="28"/>
      <c r="R229" s="49"/>
      <c r="S229" s="1"/>
      <c r="T229" s="95"/>
      <c r="U229" s="45"/>
      <c r="V229" s="34"/>
      <c r="W229" s="50"/>
    </row>
    <row r="230" ht="15.75" customHeight="1">
      <c r="A230" s="28"/>
      <c r="B230" s="28"/>
      <c r="C230" s="45"/>
      <c r="D230" s="45"/>
      <c r="E230" s="50"/>
      <c r="F230" s="28"/>
      <c r="G230" s="28"/>
      <c r="H230" s="28"/>
      <c r="I230" s="49"/>
      <c r="J230" s="49"/>
      <c r="K230" s="80"/>
      <c r="L230" s="106"/>
      <c r="M230" s="34"/>
      <c r="N230" s="34"/>
      <c r="O230" s="34"/>
      <c r="P230" s="34"/>
      <c r="Q230" s="28"/>
      <c r="R230" s="49"/>
      <c r="S230" s="1"/>
      <c r="T230" s="95"/>
      <c r="U230" s="45"/>
      <c r="V230" s="34"/>
      <c r="W230" s="50"/>
    </row>
    <row r="231" ht="15.75" customHeight="1">
      <c r="A231" s="28"/>
      <c r="B231" s="28"/>
      <c r="C231" s="45"/>
      <c r="D231" s="45"/>
      <c r="E231" s="50"/>
      <c r="F231" s="28"/>
      <c r="G231" s="28"/>
      <c r="H231" s="28"/>
      <c r="I231" s="49"/>
      <c r="J231" s="49"/>
      <c r="K231" s="80"/>
      <c r="L231" s="106"/>
      <c r="M231" s="34"/>
      <c r="N231" s="34"/>
      <c r="O231" s="34"/>
      <c r="P231" s="34"/>
      <c r="Q231" s="28"/>
      <c r="R231" s="49"/>
      <c r="S231" s="1"/>
      <c r="T231" s="95"/>
      <c r="U231" s="45"/>
      <c r="V231" s="34"/>
      <c r="W231" s="50"/>
    </row>
    <row r="232" ht="15.75" customHeight="1">
      <c r="A232" s="28"/>
      <c r="B232" s="28"/>
      <c r="C232" s="45"/>
      <c r="D232" s="45"/>
      <c r="E232" s="50"/>
      <c r="F232" s="28"/>
      <c r="G232" s="28"/>
      <c r="H232" s="28"/>
      <c r="I232" s="49"/>
      <c r="J232" s="49"/>
      <c r="K232" s="80"/>
      <c r="L232" s="106"/>
      <c r="M232" s="34"/>
      <c r="N232" s="34"/>
      <c r="O232" s="34"/>
      <c r="P232" s="34"/>
      <c r="Q232" s="28"/>
      <c r="R232" s="49"/>
      <c r="S232" s="1"/>
      <c r="T232" s="95"/>
      <c r="U232" s="45"/>
      <c r="V232" s="34"/>
      <c r="W232" s="50"/>
    </row>
    <row r="233" ht="15.75" customHeight="1">
      <c r="A233" s="28"/>
      <c r="B233" s="28"/>
      <c r="C233" s="45"/>
      <c r="D233" s="45"/>
      <c r="E233" s="50"/>
      <c r="F233" s="28"/>
      <c r="G233" s="28"/>
      <c r="H233" s="28"/>
      <c r="I233" s="49"/>
      <c r="J233" s="49"/>
      <c r="K233" s="80"/>
      <c r="L233" s="106"/>
      <c r="M233" s="34"/>
      <c r="N233" s="34"/>
      <c r="O233" s="34"/>
      <c r="P233" s="34"/>
      <c r="Q233" s="28"/>
      <c r="R233" s="49"/>
      <c r="S233" s="1"/>
      <c r="T233" s="95"/>
      <c r="U233" s="45"/>
      <c r="V233" s="34"/>
      <c r="W233" s="50"/>
    </row>
    <row r="234" ht="15.75" customHeight="1">
      <c r="A234" s="28"/>
      <c r="B234" s="28"/>
      <c r="C234" s="45"/>
      <c r="D234" s="45"/>
      <c r="E234" s="50"/>
      <c r="F234" s="28"/>
      <c r="G234" s="28"/>
      <c r="H234" s="28"/>
      <c r="I234" s="49"/>
      <c r="J234" s="49"/>
      <c r="K234" s="80"/>
      <c r="L234" s="106"/>
      <c r="M234" s="34"/>
      <c r="N234" s="34"/>
      <c r="O234" s="34"/>
      <c r="P234" s="34"/>
      <c r="Q234" s="28"/>
      <c r="R234" s="49"/>
      <c r="S234" s="1"/>
      <c r="T234" s="95"/>
      <c r="U234" s="45"/>
      <c r="V234" s="34"/>
      <c r="W234" s="50"/>
    </row>
    <row r="235" ht="15.75" customHeight="1">
      <c r="A235" s="28"/>
      <c r="B235" s="28"/>
      <c r="C235" s="45"/>
      <c r="D235" s="45"/>
      <c r="E235" s="50"/>
      <c r="F235" s="28"/>
      <c r="G235" s="28"/>
      <c r="H235" s="28"/>
      <c r="I235" s="49"/>
      <c r="J235" s="49"/>
      <c r="K235" s="80"/>
      <c r="L235" s="106"/>
      <c r="M235" s="34"/>
      <c r="N235" s="34"/>
      <c r="O235" s="34"/>
      <c r="P235" s="34"/>
      <c r="Q235" s="28"/>
      <c r="R235" s="49"/>
      <c r="S235" s="1"/>
      <c r="T235" s="95"/>
      <c r="U235" s="45"/>
      <c r="V235" s="34"/>
      <c r="W235" s="50"/>
    </row>
    <row r="236" ht="15.75" customHeight="1">
      <c r="A236" s="28"/>
      <c r="B236" s="28"/>
      <c r="C236" s="45"/>
      <c r="D236" s="45"/>
      <c r="E236" s="50"/>
      <c r="F236" s="28"/>
      <c r="G236" s="28"/>
      <c r="H236" s="28"/>
      <c r="I236" s="49"/>
      <c r="J236" s="49"/>
      <c r="K236" s="80"/>
      <c r="L236" s="106"/>
      <c r="M236" s="34"/>
      <c r="N236" s="34"/>
      <c r="O236" s="34"/>
      <c r="P236" s="34"/>
      <c r="Q236" s="28"/>
      <c r="R236" s="49"/>
      <c r="S236" s="1"/>
      <c r="T236" s="95"/>
      <c r="U236" s="45"/>
      <c r="V236" s="34"/>
      <c r="W236" s="50"/>
    </row>
    <row r="237" ht="15.75" customHeight="1">
      <c r="A237" s="28"/>
      <c r="B237" s="28"/>
      <c r="C237" s="45"/>
      <c r="D237" s="45"/>
      <c r="E237" s="50"/>
      <c r="F237" s="28"/>
      <c r="G237" s="28"/>
      <c r="H237" s="28"/>
      <c r="I237" s="49"/>
      <c r="J237" s="49"/>
      <c r="K237" s="80"/>
      <c r="L237" s="106"/>
      <c r="M237" s="34"/>
      <c r="N237" s="34"/>
      <c r="O237" s="34"/>
      <c r="P237" s="34"/>
      <c r="Q237" s="28"/>
      <c r="R237" s="49"/>
      <c r="S237" s="1"/>
      <c r="T237" s="95"/>
      <c r="U237" s="45"/>
      <c r="V237" s="34"/>
      <c r="W237" s="50"/>
    </row>
    <row r="238" ht="15.75" customHeight="1">
      <c r="A238" s="28"/>
      <c r="B238" s="28"/>
      <c r="C238" s="45"/>
      <c r="D238" s="45"/>
      <c r="E238" s="50"/>
      <c r="F238" s="28"/>
      <c r="G238" s="28"/>
      <c r="H238" s="28"/>
      <c r="I238" s="49"/>
      <c r="J238" s="49"/>
      <c r="K238" s="80"/>
      <c r="L238" s="106"/>
      <c r="M238" s="34"/>
      <c r="N238" s="34"/>
      <c r="O238" s="34"/>
      <c r="P238" s="34"/>
      <c r="Q238" s="28"/>
      <c r="R238" s="49"/>
      <c r="S238" s="1"/>
      <c r="T238" s="95"/>
      <c r="U238" s="45"/>
      <c r="V238" s="34"/>
      <c r="W238" s="50"/>
    </row>
    <row r="239" ht="15.75" customHeight="1">
      <c r="A239" s="28"/>
      <c r="B239" s="28"/>
      <c r="C239" s="45"/>
      <c r="D239" s="45"/>
      <c r="E239" s="50"/>
      <c r="F239" s="28"/>
      <c r="G239" s="28"/>
      <c r="H239" s="28"/>
      <c r="I239" s="49"/>
      <c r="J239" s="49"/>
      <c r="K239" s="80"/>
      <c r="L239" s="106"/>
      <c r="M239" s="34"/>
      <c r="N239" s="34"/>
      <c r="O239" s="34"/>
      <c r="P239" s="34"/>
      <c r="Q239" s="28"/>
      <c r="R239" s="49"/>
      <c r="S239" s="1"/>
      <c r="T239" s="95"/>
      <c r="U239" s="45"/>
      <c r="V239" s="34"/>
      <c r="W239" s="50"/>
    </row>
    <row r="240" ht="15.75" customHeight="1">
      <c r="A240" s="28"/>
      <c r="B240" s="28"/>
      <c r="C240" s="45"/>
      <c r="D240" s="45"/>
      <c r="E240" s="50"/>
      <c r="F240" s="28"/>
      <c r="G240" s="28"/>
      <c r="H240" s="28"/>
      <c r="I240" s="49"/>
      <c r="J240" s="49"/>
      <c r="K240" s="80"/>
      <c r="L240" s="106"/>
      <c r="M240" s="34"/>
      <c r="N240" s="34"/>
      <c r="O240" s="34"/>
      <c r="P240" s="34"/>
      <c r="Q240" s="28"/>
      <c r="R240" s="49"/>
      <c r="S240" s="1"/>
      <c r="T240" s="95"/>
      <c r="U240" s="45"/>
      <c r="V240" s="34"/>
      <c r="W240" s="50"/>
    </row>
    <row r="241" ht="15.75" customHeight="1">
      <c r="A241" s="28"/>
      <c r="B241" s="28"/>
      <c r="C241" s="45"/>
      <c r="D241" s="45"/>
      <c r="E241" s="50"/>
      <c r="F241" s="28"/>
      <c r="G241" s="28"/>
      <c r="H241" s="28"/>
      <c r="I241" s="49"/>
      <c r="J241" s="49"/>
      <c r="K241" s="80"/>
      <c r="L241" s="106"/>
      <c r="M241" s="34"/>
      <c r="N241" s="34"/>
      <c r="O241" s="34"/>
      <c r="P241" s="34"/>
      <c r="Q241" s="28"/>
      <c r="R241" s="49"/>
      <c r="S241" s="1"/>
      <c r="T241" s="95"/>
      <c r="U241" s="45"/>
      <c r="V241" s="34"/>
      <c r="W241" s="50"/>
    </row>
    <row r="242" ht="15.75" customHeight="1">
      <c r="A242" s="28"/>
      <c r="B242" s="28"/>
      <c r="C242" s="45"/>
      <c r="D242" s="45"/>
      <c r="E242" s="50"/>
      <c r="F242" s="28"/>
      <c r="G242" s="28"/>
      <c r="H242" s="28"/>
      <c r="I242" s="49"/>
      <c r="J242" s="49"/>
      <c r="K242" s="80"/>
      <c r="L242" s="106"/>
      <c r="M242" s="34"/>
      <c r="N242" s="34"/>
      <c r="O242" s="34"/>
      <c r="P242" s="34"/>
      <c r="Q242" s="28"/>
      <c r="R242" s="49"/>
      <c r="S242" s="1"/>
      <c r="T242" s="95"/>
      <c r="U242" s="45"/>
      <c r="V242" s="34"/>
      <c r="W242" s="50"/>
    </row>
    <row r="243" ht="15.75" customHeight="1">
      <c r="A243" s="28"/>
      <c r="B243" s="28"/>
      <c r="C243" s="45"/>
      <c r="D243" s="45"/>
      <c r="E243" s="50"/>
      <c r="F243" s="28"/>
      <c r="G243" s="28"/>
      <c r="H243" s="28"/>
      <c r="I243" s="49"/>
      <c r="J243" s="49"/>
      <c r="K243" s="80"/>
      <c r="L243" s="106"/>
      <c r="M243" s="34"/>
      <c r="N243" s="34"/>
      <c r="O243" s="34"/>
      <c r="P243" s="34"/>
      <c r="Q243" s="28"/>
      <c r="R243" s="49"/>
      <c r="S243" s="1"/>
      <c r="T243" s="95"/>
      <c r="U243" s="45"/>
      <c r="V243" s="34"/>
      <c r="W243" s="50"/>
    </row>
    <row r="244" ht="15.75" customHeight="1">
      <c r="A244" s="28"/>
      <c r="B244" s="28"/>
      <c r="C244" s="45"/>
      <c r="D244" s="45"/>
      <c r="E244" s="50"/>
      <c r="F244" s="28"/>
      <c r="G244" s="28"/>
      <c r="H244" s="28"/>
      <c r="I244" s="49"/>
      <c r="J244" s="49"/>
      <c r="K244" s="80"/>
      <c r="L244" s="106"/>
      <c r="M244" s="34"/>
      <c r="N244" s="34"/>
      <c r="O244" s="34"/>
      <c r="P244" s="34"/>
      <c r="Q244" s="28"/>
      <c r="R244" s="49"/>
      <c r="S244" s="1"/>
      <c r="T244" s="95"/>
      <c r="U244" s="45"/>
      <c r="V244" s="34"/>
      <c r="W244" s="50"/>
    </row>
    <row r="245" ht="15.75" customHeight="1">
      <c r="A245" s="28"/>
      <c r="B245" s="28"/>
      <c r="C245" s="45"/>
      <c r="D245" s="45"/>
      <c r="E245" s="50"/>
      <c r="F245" s="28"/>
      <c r="G245" s="28"/>
      <c r="H245" s="28"/>
      <c r="I245" s="49"/>
      <c r="J245" s="49"/>
      <c r="K245" s="80"/>
      <c r="L245" s="106"/>
      <c r="M245" s="34"/>
      <c r="N245" s="34"/>
      <c r="O245" s="34"/>
      <c r="P245" s="34"/>
      <c r="Q245" s="28"/>
      <c r="R245" s="49"/>
      <c r="S245" s="1"/>
      <c r="T245" s="95"/>
      <c r="U245" s="45"/>
      <c r="V245" s="34"/>
      <c r="W245" s="50"/>
    </row>
    <row r="246" ht="15.75" customHeight="1">
      <c r="A246" s="28"/>
      <c r="B246" s="28"/>
      <c r="C246" s="45"/>
      <c r="D246" s="45"/>
      <c r="E246" s="50"/>
      <c r="F246" s="28"/>
      <c r="G246" s="28"/>
      <c r="H246" s="28"/>
      <c r="I246" s="49"/>
      <c r="J246" s="49"/>
      <c r="K246" s="80"/>
      <c r="L246" s="106"/>
      <c r="M246" s="34"/>
      <c r="N246" s="34"/>
      <c r="O246" s="34"/>
      <c r="P246" s="34"/>
      <c r="Q246" s="28"/>
      <c r="R246" s="49"/>
      <c r="S246" s="1"/>
      <c r="T246" s="95"/>
      <c r="U246" s="45"/>
      <c r="V246" s="34"/>
      <c r="W246" s="50"/>
    </row>
    <row r="247" ht="15.75" customHeight="1">
      <c r="A247" s="28"/>
      <c r="B247" s="28"/>
      <c r="C247" s="45"/>
      <c r="D247" s="45"/>
      <c r="E247" s="50"/>
      <c r="F247" s="28"/>
      <c r="G247" s="28"/>
      <c r="H247" s="28"/>
      <c r="I247" s="49"/>
      <c r="J247" s="49"/>
      <c r="K247" s="80"/>
      <c r="L247" s="106"/>
      <c r="M247" s="34"/>
      <c r="N247" s="34"/>
      <c r="O247" s="34"/>
      <c r="P247" s="34"/>
      <c r="Q247" s="28"/>
      <c r="R247" s="49"/>
      <c r="S247" s="1"/>
      <c r="T247" s="95"/>
      <c r="U247" s="45"/>
      <c r="V247" s="34"/>
      <c r="W247" s="50"/>
    </row>
    <row r="248" ht="15.75" customHeight="1">
      <c r="A248" s="28"/>
      <c r="B248" s="28"/>
      <c r="C248" s="45"/>
      <c r="D248" s="45"/>
      <c r="E248" s="50"/>
      <c r="F248" s="28"/>
      <c r="G248" s="28"/>
      <c r="H248" s="28"/>
      <c r="I248" s="49"/>
      <c r="J248" s="49"/>
      <c r="K248" s="80"/>
      <c r="L248" s="106"/>
      <c r="M248" s="34"/>
      <c r="N248" s="34"/>
      <c r="O248" s="34"/>
      <c r="P248" s="34"/>
      <c r="Q248" s="28"/>
      <c r="R248" s="49"/>
      <c r="S248" s="1"/>
      <c r="T248" s="95"/>
      <c r="U248" s="45"/>
      <c r="V248" s="34"/>
      <c r="W248" s="50"/>
    </row>
    <row r="249" ht="15.75" customHeight="1">
      <c r="A249" s="28"/>
      <c r="B249" s="28"/>
      <c r="C249" s="45"/>
      <c r="D249" s="45"/>
      <c r="E249" s="50"/>
      <c r="F249" s="28"/>
      <c r="G249" s="28"/>
      <c r="H249" s="28"/>
      <c r="I249" s="49"/>
      <c r="J249" s="49"/>
      <c r="K249" s="80"/>
      <c r="L249" s="106"/>
      <c r="M249" s="34"/>
      <c r="N249" s="34"/>
      <c r="O249" s="34"/>
      <c r="P249" s="34"/>
      <c r="Q249" s="28"/>
      <c r="R249" s="49"/>
      <c r="S249" s="1"/>
      <c r="T249" s="95"/>
      <c r="U249" s="45"/>
      <c r="V249" s="34"/>
      <c r="W249" s="50"/>
    </row>
    <row r="250" ht="15.75" customHeight="1">
      <c r="A250" s="28"/>
      <c r="B250" s="28"/>
      <c r="C250" s="45"/>
      <c r="D250" s="45"/>
      <c r="E250" s="50"/>
      <c r="F250" s="28"/>
      <c r="G250" s="28"/>
      <c r="H250" s="28"/>
      <c r="I250" s="49"/>
      <c r="J250" s="49"/>
      <c r="K250" s="80"/>
      <c r="L250" s="106"/>
      <c r="M250" s="34"/>
      <c r="N250" s="34"/>
      <c r="O250" s="34"/>
      <c r="P250" s="34"/>
      <c r="Q250" s="28"/>
      <c r="R250" s="49"/>
      <c r="S250" s="1"/>
      <c r="T250" s="95"/>
      <c r="U250" s="45"/>
      <c r="V250" s="34"/>
      <c r="W250" s="50"/>
    </row>
    <row r="251" ht="15.75" customHeight="1">
      <c r="A251" s="28"/>
      <c r="B251" s="28"/>
      <c r="C251" s="45"/>
      <c r="D251" s="45"/>
      <c r="E251" s="50"/>
      <c r="F251" s="28"/>
      <c r="G251" s="28"/>
      <c r="H251" s="28"/>
      <c r="I251" s="49"/>
      <c r="J251" s="49"/>
      <c r="K251" s="80"/>
      <c r="L251" s="106"/>
      <c r="M251" s="34"/>
      <c r="N251" s="34"/>
      <c r="O251" s="34"/>
      <c r="P251" s="34"/>
      <c r="Q251" s="28"/>
      <c r="R251" s="49"/>
      <c r="S251" s="1"/>
      <c r="T251" s="95"/>
      <c r="U251" s="45"/>
      <c r="V251" s="34"/>
      <c r="W251" s="50"/>
    </row>
    <row r="252" ht="15.75" customHeight="1">
      <c r="A252" s="28"/>
      <c r="B252" s="28"/>
      <c r="C252" s="45"/>
      <c r="D252" s="45"/>
      <c r="E252" s="50"/>
      <c r="F252" s="28"/>
      <c r="G252" s="28"/>
      <c r="H252" s="28"/>
      <c r="I252" s="49"/>
      <c r="J252" s="49"/>
      <c r="K252" s="80"/>
      <c r="L252" s="106"/>
      <c r="M252" s="34"/>
      <c r="N252" s="34"/>
      <c r="O252" s="34"/>
      <c r="P252" s="34"/>
      <c r="Q252" s="28"/>
      <c r="R252" s="49"/>
      <c r="S252" s="1"/>
      <c r="T252" s="95"/>
      <c r="U252" s="45"/>
      <c r="V252" s="34"/>
      <c r="W252" s="50"/>
    </row>
    <row r="253" ht="15.75" customHeight="1">
      <c r="A253" s="28"/>
      <c r="B253" s="28"/>
      <c r="C253" s="45"/>
      <c r="D253" s="45"/>
      <c r="E253" s="50"/>
      <c r="F253" s="28"/>
      <c r="G253" s="28"/>
      <c r="H253" s="28"/>
      <c r="I253" s="49"/>
      <c r="J253" s="49"/>
      <c r="K253" s="80"/>
      <c r="L253" s="106"/>
      <c r="M253" s="34"/>
      <c r="N253" s="34"/>
      <c r="O253" s="34"/>
      <c r="P253" s="34"/>
      <c r="Q253" s="28"/>
      <c r="R253" s="49"/>
      <c r="S253" s="1"/>
      <c r="T253" s="95"/>
      <c r="U253" s="45"/>
      <c r="V253" s="34"/>
      <c r="W253" s="50"/>
    </row>
    <row r="254" ht="15.75" customHeight="1">
      <c r="A254" s="28"/>
      <c r="B254" s="28"/>
      <c r="C254" s="45"/>
      <c r="D254" s="45"/>
      <c r="E254" s="50"/>
      <c r="F254" s="28"/>
      <c r="G254" s="28"/>
      <c r="H254" s="28"/>
      <c r="I254" s="49"/>
      <c r="J254" s="49"/>
      <c r="K254" s="80"/>
      <c r="L254" s="106"/>
      <c r="M254" s="34"/>
      <c r="N254" s="34"/>
      <c r="O254" s="34"/>
      <c r="P254" s="34"/>
      <c r="Q254" s="28"/>
      <c r="R254" s="49"/>
      <c r="S254" s="1"/>
      <c r="T254" s="95"/>
      <c r="U254" s="45"/>
      <c r="V254" s="34"/>
      <c r="W254" s="50"/>
    </row>
    <row r="255" ht="15.75" customHeight="1">
      <c r="A255" s="28"/>
      <c r="B255" s="28"/>
      <c r="C255" s="45"/>
      <c r="D255" s="45"/>
      <c r="E255" s="50"/>
      <c r="F255" s="28"/>
      <c r="G255" s="28"/>
      <c r="H255" s="28"/>
      <c r="I255" s="49"/>
      <c r="J255" s="49"/>
      <c r="K255" s="80"/>
      <c r="L255" s="106"/>
      <c r="M255" s="34"/>
      <c r="N255" s="34"/>
      <c r="O255" s="34"/>
      <c r="P255" s="34"/>
      <c r="Q255" s="28"/>
      <c r="R255" s="49"/>
      <c r="S255" s="1"/>
      <c r="T255" s="95"/>
      <c r="U255" s="45"/>
      <c r="V255" s="34"/>
      <c r="W255" s="50"/>
    </row>
    <row r="256" ht="15.75" customHeight="1">
      <c r="A256" s="28"/>
      <c r="B256" s="28"/>
      <c r="C256" s="45"/>
      <c r="D256" s="45"/>
      <c r="E256" s="50"/>
      <c r="F256" s="28"/>
      <c r="G256" s="28"/>
      <c r="H256" s="28"/>
      <c r="I256" s="49"/>
      <c r="J256" s="49"/>
      <c r="K256" s="80"/>
      <c r="L256" s="106"/>
      <c r="M256" s="34"/>
      <c r="N256" s="34"/>
      <c r="O256" s="34"/>
      <c r="P256" s="34"/>
      <c r="Q256" s="28"/>
      <c r="R256" s="49"/>
      <c r="S256" s="1"/>
      <c r="T256" s="95"/>
      <c r="U256" s="45"/>
      <c r="V256" s="34"/>
      <c r="W256" s="50"/>
    </row>
    <row r="257" ht="15.75" customHeight="1">
      <c r="A257" s="28"/>
      <c r="B257" s="28"/>
      <c r="C257" s="45"/>
      <c r="D257" s="45"/>
      <c r="E257" s="50"/>
      <c r="F257" s="28"/>
      <c r="G257" s="28"/>
      <c r="H257" s="28"/>
      <c r="I257" s="49"/>
      <c r="J257" s="49"/>
      <c r="K257" s="80"/>
      <c r="L257" s="106"/>
      <c r="M257" s="34"/>
      <c r="N257" s="34"/>
      <c r="O257" s="34"/>
      <c r="P257" s="34"/>
      <c r="Q257" s="28"/>
      <c r="R257" s="49"/>
      <c r="S257" s="1"/>
      <c r="T257" s="95"/>
      <c r="U257" s="45"/>
      <c r="V257" s="34"/>
      <c r="W257" s="50"/>
    </row>
    <row r="258" ht="15.75" customHeight="1">
      <c r="A258" s="28"/>
      <c r="B258" s="28"/>
      <c r="C258" s="45"/>
      <c r="D258" s="45"/>
      <c r="E258" s="50"/>
      <c r="F258" s="28"/>
      <c r="G258" s="28"/>
      <c r="H258" s="28"/>
      <c r="I258" s="49"/>
      <c r="J258" s="49"/>
      <c r="K258" s="80"/>
      <c r="L258" s="106"/>
      <c r="M258" s="34"/>
      <c r="N258" s="34"/>
      <c r="O258" s="34"/>
      <c r="P258" s="34"/>
      <c r="Q258" s="28"/>
      <c r="R258" s="49"/>
      <c r="S258" s="1"/>
      <c r="T258" s="95"/>
      <c r="U258" s="45"/>
      <c r="V258" s="34"/>
      <c r="W258" s="50"/>
    </row>
    <row r="259" ht="15.75" customHeight="1">
      <c r="A259" s="28"/>
      <c r="B259" s="28"/>
      <c r="C259" s="45"/>
      <c r="D259" s="45"/>
      <c r="E259" s="50"/>
      <c r="F259" s="28"/>
      <c r="G259" s="28"/>
      <c r="H259" s="28"/>
      <c r="I259" s="49"/>
      <c r="J259" s="49"/>
      <c r="K259" s="80"/>
      <c r="L259" s="106"/>
      <c r="M259" s="34"/>
      <c r="N259" s="34"/>
      <c r="O259" s="34"/>
      <c r="P259" s="34"/>
      <c r="Q259" s="28"/>
      <c r="R259" s="49"/>
      <c r="S259" s="1"/>
      <c r="T259" s="95"/>
      <c r="U259" s="45"/>
      <c r="V259" s="34"/>
      <c r="W259" s="50"/>
    </row>
    <row r="260" ht="15.75" customHeight="1">
      <c r="A260" s="28"/>
      <c r="B260" s="28"/>
      <c r="C260" s="45"/>
      <c r="D260" s="45"/>
      <c r="E260" s="50"/>
      <c r="F260" s="28"/>
      <c r="G260" s="28"/>
      <c r="H260" s="28"/>
      <c r="I260" s="49"/>
      <c r="J260" s="49"/>
      <c r="K260" s="80"/>
      <c r="L260" s="106"/>
      <c r="M260" s="34"/>
      <c r="N260" s="34"/>
      <c r="O260" s="34"/>
      <c r="P260" s="34"/>
      <c r="Q260" s="28"/>
      <c r="R260" s="49"/>
      <c r="S260" s="1"/>
      <c r="T260" s="95"/>
      <c r="U260" s="45"/>
      <c r="V260" s="34"/>
      <c r="W260" s="50"/>
    </row>
    <row r="261" ht="15.75" customHeight="1">
      <c r="A261" s="28"/>
      <c r="B261" s="28"/>
      <c r="C261" s="45"/>
      <c r="D261" s="45"/>
      <c r="E261" s="50"/>
      <c r="F261" s="28"/>
      <c r="G261" s="28"/>
      <c r="H261" s="28"/>
      <c r="I261" s="49"/>
      <c r="J261" s="49"/>
      <c r="K261" s="80"/>
      <c r="L261" s="106"/>
      <c r="M261" s="34"/>
      <c r="N261" s="34"/>
      <c r="O261" s="34"/>
      <c r="P261" s="34"/>
      <c r="Q261" s="28"/>
      <c r="R261" s="49"/>
      <c r="S261" s="1"/>
      <c r="T261" s="95"/>
      <c r="U261" s="45"/>
      <c r="V261" s="34"/>
      <c r="W261" s="50"/>
    </row>
    <row r="262" ht="15.75" customHeight="1">
      <c r="A262" s="28"/>
      <c r="B262" s="28"/>
      <c r="C262" s="45"/>
      <c r="D262" s="45"/>
      <c r="E262" s="50"/>
      <c r="F262" s="28"/>
      <c r="G262" s="28"/>
      <c r="H262" s="28"/>
      <c r="I262" s="49"/>
      <c r="J262" s="49"/>
      <c r="K262" s="80"/>
      <c r="L262" s="106"/>
      <c r="M262" s="34"/>
      <c r="N262" s="34"/>
      <c r="O262" s="34"/>
      <c r="P262" s="34"/>
      <c r="Q262" s="28"/>
      <c r="R262" s="49"/>
      <c r="S262" s="1"/>
      <c r="T262" s="95"/>
      <c r="U262" s="45"/>
      <c r="V262" s="34"/>
      <c r="W262" s="50"/>
    </row>
    <row r="263" ht="15.75" customHeight="1">
      <c r="A263" s="28"/>
      <c r="B263" s="28"/>
      <c r="C263" s="45"/>
      <c r="D263" s="45"/>
      <c r="E263" s="50"/>
      <c r="F263" s="28"/>
      <c r="G263" s="28"/>
      <c r="H263" s="28"/>
      <c r="I263" s="49"/>
      <c r="J263" s="49"/>
      <c r="K263" s="80"/>
      <c r="L263" s="106"/>
      <c r="M263" s="34"/>
      <c r="N263" s="34"/>
      <c r="O263" s="34"/>
      <c r="P263" s="34"/>
      <c r="Q263" s="28"/>
      <c r="R263" s="49"/>
      <c r="S263" s="1"/>
      <c r="T263" s="95"/>
      <c r="U263" s="45"/>
      <c r="V263" s="34"/>
      <c r="W263" s="50"/>
    </row>
    <row r="264" ht="15.75" customHeight="1">
      <c r="A264" s="28"/>
      <c r="B264" s="28"/>
      <c r="C264" s="45"/>
      <c r="D264" s="45"/>
      <c r="E264" s="50"/>
      <c r="F264" s="28"/>
      <c r="G264" s="28"/>
      <c r="H264" s="28"/>
      <c r="I264" s="49"/>
      <c r="J264" s="49"/>
      <c r="K264" s="80"/>
      <c r="L264" s="106"/>
      <c r="M264" s="34"/>
      <c r="N264" s="34"/>
      <c r="O264" s="34"/>
      <c r="P264" s="34"/>
      <c r="Q264" s="28"/>
      <c r="R264" s="49"/>
      <c r="S264" s="1"/>
      <c r="T264" s="95"/>
      <c r="U264" s="45"/>
      <c r="V264" s="34"/>
      <c r="W264" s="50"/>
    </row>
    <row r="265" ht="15.75" customHeight="1">
      <c r="A265" s="28"/>
      <c r="B265" s="28"/>
      <c r="C265" s="45"/>
      <c r="D265" s="45"/>
      <c r="E265" s="50"/>
      <c r="F265" s="28"/>
      <c r="G265" s="28"/>
      <c r="H265" s="28"/>
      <c r="I265" s="49"/>
      <c r="J265" s="49"/>
      <c r="K265" s="80"/>
      <c r="L265" s="106"/>
      <c r="M265" s="34"/>
      <c r="N265" s="34"/>
      <c r="O265" s="34"/>
      <c r="P265" s="34"/>
      <c r="Q265" s="28"/>
      <c r="R265" s="49"/>
      <c r="S265" s="1"/>
      <c r="T265" s="95"/>
      <c r="U265" s="45"/>
      <c r="V265" s="34"/>
      <c r="W265" s="50"/>
    </row>
    <row r="266" ht="15.75" customHeight="1">
      <c r="A266" s="28"/>
      <c r="B266" s="28"/>
      <c r="C266" s="45"/>
      <c r="D266" s="45"/>
      <c r="E266" s="50"/>
      <c r="F266" s="28"/>
      <c r="G266" s="28"/>
      <c r="H266" s="28"/>
      <c r="I266" s="49"/>
      <c r="J266" s="49"/>
      <c r="K266" s="80"/>
      <c r="L266" s="106"/>
      <c r="M266" s="34"/>
      <c r="N266" s="34"/>
      <c r="O266" s="34"/>
      <c r="P266" s="34"/>
      <c r="Q266" s="28"/>
      <c r="R266" s="49"/>
      <c r="S266" s="1"/>
      <c r="T266" s="95"/>
      <c r="U266" s="45"/>
      <c r="V266" s="34"/>
      <c r="W266" s="50"/>
    </row>
    <row r="267" ht="15.75" customHeight="1">
      <c r="A267" s="28"/>
      <c r="B267" s="28"/>
      <c r="C267" s="45"/>
      <c r="D267" s="45"/>
      <c r="E267" s="50"/>
      <c r="F267" s="28"/>
      <c r="G267" s="28"/>
      <c r="H267" s="28"/>
      <c r="I267" s="49"/>
      <c r="J267" s="49"/>
      <c r="K267" s="80"/>
      <c r="L267" s="106"/>
      <c r="M267" s="34"/>
      <c r="N267" s="34"/>
      <c r="O267" s="34"/>
      <c r="P267" s="34"/>
      <c r="Q267" s="28"/>
      <c r="R267" s="49"/>
      <c r="S267" s="1"/>
      <c r="T267" s="95"/>
      <c r="U267" s="45"/>
      <c r="V267" s="34"/>
      <c r="W267" s="50"/>
    </row>
    <row r="268" ht="15.75" customHeight="1">
      <c r="A268" s="28"/>
      <c r="B268" s="28"/>
      <c r="C268" s="45"/>
      <c r="D268" s="45"/>
      <c r="E268" s="50"/>
      <c r="F268" s="28"/>
      <c r="G268" s="28"/>
      <c r="H268" s="28"/>
      <c r="I268" s="49"/>
      <c r="J268" s="49"/>
      <c r="K268" s="80"/>
      <c r="L268" s="106"/>
      <c r="M268" s="34"/>
      <c r="N268" s="34"/>
      <c r="O268" s="34"/>
      <c r="P268" s="34"/>
      <c r="Q268" s="28"/>
      <c r="R268" s="49"/>
      <c r="S268" s="1"/>
      <c r="T268" s="95"/>
      <c r="U268" s="45"/>
      <c r="V268" s="34"/>
      <c r="W268" s="50"/>
    </row>
    <row r="269" ht="15.75" customHeight="1">
      <c r="A269" s="28"/>
      <c r="B269" s="28"/>
      <c r="C269" s="45"/>
      <c r="D269" s="45"/>
      <c r="E269" s="50"/>
      <c r="F269" s="28"/>
      <c r="G269" s="28"/>
      <c r="H269" s="28"/>
      <c r="I269" s="49"/>
      <c r="J269" s="49"/>
      <c r="K269" s="80"/>
      <c r="L269" s="106"/>
      <c r="M269" s="34"/>
      <c r="N269" s="34"/>
      <c r="O269" s="34"/>
      <c r="P269" s="34"/>
      <c r="Q269" s="28"/>
      <c r="R269" s="49"/>
      <c r="S269" s="1"/>
      <c r="T269" s="95"/>
      <c r="U269" s="45"/>
      <c r="V269" s="34"/>
      <c r="W269" s="50"/>
    </row>
    <row r="270" ht="15.75" customHeight="1">
      <c r="A270" s="28"/>
      <c r="B270" s="28"/>
      <c r="C270" s="45"/>
      <c r="D270" s="45"/>
      <c r="E270" s="50"/>
      <c r="F270" s="28"/>
      <c r="G270" s="28"/>
      <c r="H270" s="28"/>
      <c r="I270" s="49"/>
      <c r="J270" s="49"/>
      <c r="K270" s="80"/>
      <c r="L270" s="106"/>
      <c r="M270" s="34"/>
      <c r="N270" s="34"/>
      <c r="O270" s="34"/>
      <c r="P270" s="34"/>
      <c r="Q270" s="28"/>
      <c r="R270" s="49"/>
      <c r="S270" s="1"/>
      <c r="T270" s="95"/>
      <c r="U270" s="45"/>
      <c r="V270" s="34"/>
      <c r="W270" s="50"/>
    </row>
    <row r="271" ht="15.75" customHeight="1">
      <c r="A271" s="28"/>
      <c r="B271" s="28"/>
      <c r="C271" s="45"/>
      <c r="D271" s="45"/>
      <c r="E271" s="50"/>
      <c r="F271" s="28"/>
      <c r="G271" s="28"/>
      <c r="H271" s="28"/>
      <c r="I271" s="49"/>
      <c r="J271" s="49"/>
      <c r="K271" s="80"/>
      <c r="L271" s="106"/>
      <c r="M271" s="34"/>
      <c r="N271" s="34"/>
      <c r="O271" s="34"/>
      <c r="P271" s="34"/>
      <c r="Q271" s="28"/>
      <c r="R271" s="49"/>
      <c r="S271" s="1"/>
      <c r="T271" s="95"/>
      <c r="U271" s="45"/>
      <c r="V271" s="34"/>
      <c r="W271" s="50"/>
    </row>
    <row r="272" ht="15.75" customHeight="1">
      <c r="A272" s="28"/>
      <c r="B272" s="28"/>
      <c r="C272" s="45"/>
      <c r="D272" s="45"/>
      <c r="E272" s="50"/>
      <c r="F272" s="28"/>
      <c r="G272" s="28"/>
      <c r="H272" s="28"/>
      <c r="I272" s="49"/>
      <c r="J272" s="49"/>
      <c r="K272" s="80"/>
      <c r="L272" s="106"/>
      <c r="M272" s="34"/>
      <c r="N272" s="34"/>
      <c r="O272" s="34"/>
      <c r="P272" s="34"/>
      <c r="Q272" s="28"/>
      <c r="R272" s="49"/>
      <c r="S272" s="1"/>
      <c r="T272" s="95"/>
      <c r="U272" s="45"/>
      <c r="V272" s="34"/>
      <c r="W272" s="50"/>
    </row>
    <row r="273" ht="15.75" customHeight="1">
      <c r="A273" s="28"/>
      <c r="B273" s="28"/>
      <c r="C273" s="45"/>
      <c r="D273" s="45"/>
      <c r="E273" s="50"/>
      <c r="F273" s="28"/>
      <c r="G273" s="28"/>
      <c r="H273" s="28"/>
      <c r="I273" s="49"/>
      <c r="J273" s="49"/>
      <c r="K273" s="80"/>
      <c r="L273" s="106"/>
      <c r="M273" s="34"/>
      <c r="N273" s="34"/>
      <c r="O273" s="34"/>
      <c r="P273" s="34"/>
      <c r="Q273" s="28"/>
      <c r="R273" s="49"/>
      <c r="S273" s="1"/>
      <c r="T273" s="95"/>
      <c r="U273" s="45"/>
      <c r="V273" s="34"/>
      <c r="W273" s="50"/>
    </row>
    <row r="274" ht="15.75" customHeight="1">
      <c r="A274" s="28"/>
      <c r="B274" s="28"/>
      <c r="C274" s="45"/>
      <c r="D274" s="45"/>
      <c r="E274" s="50"/>
      <c r="F274" s="28"/>
      <c r="G274" s="28"/>
      <c r="H274" s="28"/>
      <c r="I274" s="49"/>
      <c r="J274" s="49"/>
      <c r="K274" s="80"/>
      <c r="L274" s="106"/>
      <c r="M274" s="34"/>
      <c r="N274" s="34"/>
      <c r="O274" s="34"/>
      <c r="P274" s="34"/>
      <c r="Q274" s="28"/>
      <c r="R274" s="49"/>
      <c r="S274" s="1"/>
      <c r="T274" s="95"/>
      <c r="U274" s="45"/>
      <c r="V274" s="34"/>
      <c r="W274" s="50"/>
    </row>
    <row r="275" ht="15.75" customHeight="1">
      <c r="A275" s="28"/>
      <c r="B275" s="28"/>
      <c r="C275" s="45"/>
      <c r="D275" s="45"/>
      <c r="E275" s="50"/>
      <c r="F275" s="28"/>
      <c r="G275" s="28"/>
      <c r="H275" s="28"/>
      <c r="I275" s="49"/>
      <c r="J275" s="49"/>
      <c r="K275" s="80"/>
      <c r="L275" s="106"/>
      <c r="M275" s="34"/>
      <c r="N275" s="34"/>
      <c r="O275" s="34"/>
      <c r="P275" s="34"/>
      <c r="Q275" s="28"/>
      <c r="R275" s="49"/>
      <c r="S275" s="1"/>
      <c r="T275" s="95"/>
      <c r="U275" s="45"/>
      <c r="V275" s="34"/>
      <c r="W275" s="50"/>
    </row>
    <row r="276" ht="15.75" customHeight="1">
      <c r="A276" s="28"/>
      <c r="B276" s="28"/>
      <c r="C276" s="45"/>
      <c r="D276" s="45"/>
      <c r="E276" s="50"/>
      <c r="F276" s="28"/>
      <c r="G276" s="28"/>
      <c r="H276" s="28"/>
      <c r="I276" s="49"/>
      <c r="J276" s="49"/>
      <c r="K276" s="80"/>
      <c r="L276" s="106"/>
      <c r="M276" s="34"/>
      <c r="N276" s="34"/>
      <c r="O276" s="34"/>
      <c r="P276" s="34"/>
      <c r="Q276" s="28"/>
      <c r="R276" s="49"/>
      <c r="S276" s="1"/>
      <c r="T276" s="95"/>
      <c r="U276" s="45"/>
      <c r="V276" s="34"/>
      <c r="W276" s="50"/>
    </row>
    <row r="277" ht="15.75" customHeight="1">
      <c r="A277" s="28"/>
      <c r="B277" s="28"/>
      <c r="C277" s="45"/>
      <c r="D277" s="45"/>
      <c r="E277" s="50"/>
      <c r="F277" s="28"/>
      <c r="G277" s="28"/>
      <c r="H277" s="28"/>
      <c r="I277" s="49"/>
      <c r="J277" s="49"/>
      <c r="K277" s="80"/>
      <c r="L277" s="106"/>
      <c r="M277" s="34"/>
      <c r="N277" s="34"/>
      <c r="O277" s="34"/>
      <c r="P277" s="34"/>
      <c r="Q277" s="28"/>
      <c r="R277" s="49"/>
      <c r="S277" s="1"/>
      <c r="T277" s="95"/>
      <c r="U277" s="45"/>
      <c r="V277" s="34"/>
      <c r="W277" s="50"/>
    </row>
    <row r="278" ht="15.75" customHeight="1">
      <c r="A278" s="28"/>
      <c r="B278" s="28"/>
      <c r="C278" s="45"/>
      <c r="D278" s="45"/>
      <c r="E278" s="50"/>
      <c r="F278" s="28"/>
      <c r="G278" s="28"/>
      <c r="H278" s="28"/>
      <c r="I278" s="49"/>
      <c r="J278" s="49"/>
      <c r="K278" s="80"/>
      <c r="L278" s="106"/>
      <c r="M278" s="34"/>
      <c r="N278" s="34"/>
      <c r="O278" s="34"/>
      <c r="P278" s="34"/>
      <c r="Q278" s="28"/>
      <c r="R278" s="49"/>
      <c r="S278" s="1"/>
      <c r="T278" s="95"/>
      <c r="U278" s="45"/>
      <c r="V278" s="34"/>
      <c r="W278" s="50"/>
    </row>
    <row r="279" ht="15.75" customHeight="1">
      <c r="A279" s="28"/>
      <c r="B279" s="28"/>
      <c r="C279" s="45"/>
      <c r="D279" s="45"/>
      <c r="E279" s="50"/>
      <c r="F279" s="28"/>
      <c r="G279" s="28"/>
      <c r="H279" s="28"/>
      <c r="I279" s="49"/>
      <c r="J279" s="49"/>
      <c r="K279" s="80"/>
      <c r="L279" s="106"/>
      <c r="M279" s="34"/>
      <c r="N279" s="34"/>
      <c r="O279" s="34"/>
      <c r="P279" s="34"/>
      <c r="Q279" s="28"/>
      <c r="R279" s="49"/>
      <c r="S279" s="1"/>
      <c r="T279" s="95"/>
      <c r="U279" s="45"/>
      <c r="V279" s="34"/>
      <c r="W279" s="50"/>
    </row>
    <row r="280" ht="15.75" customHeight="1">
      <c r="A280" s="28"/>
      <c r="B280" s="28"/>
      <c r="C280" s="45"/>
      <c r="D280" s="45"/>
      <c r="E280" s="50"/>
      <c r="F280" s="28"/>
      <c r="G280" s="28"/>
      <c r="H280" s="28"/>
      <c r="I280" s="49"/>
      <c r="J280" s="49"/>
      <c r="K280" s="80"/>
      <c r="L280" s="106"/>
      <c r="M280" s="34"/>
      <c r="N280" s="34"/>
      <c r="O280" s="34"/>
      <c r="P280" s="34"/>
      <c r="Q280" s="28"/>
      <c r="R280" s="49"/>
      <c r="S280" s="1"/>
      <c r="T280" s="95"/>
      <c r="U280" s="45"/>
      <c r="V280" s="34"/>
      <c r="W280" s="50"/>
    </row>
    <row r="281" ht="15.75" customHeight="1">
      <c r="A281" s="28"/>
      <c r="B281" s="28"/>
      <c r="C281" s="45"/>
      <c r="D281" s="45"/>
      <c r="E281" s="50"/>
      <c r="F281" s="28"/>
      <c r="G281" s="28"/>
      <c r="H281" s="28"/>
      <c r="I281" s="49"/>
      <c r="J281" s="49"/>
      <c r="K281" s="80"/>
      <c r="L281" s="106"/>
      <c r="M281" s="34"/>
      <c r="N281" s="34"/>
      <c r="O281" s="34"/>
      <c r="P281" s="34"/>
      <c r="Q281" s="28"/>
      <c r="R281" s="49"/>
      <c r="S281" s="1"/>
      <c r="T281" s="95"/>
      <c r="U281" s="45"/>
      <c r="V281" s="34"/>
      <c r="W281" s="50"/>
    </row>
    <row r="282" ht="15.75" customHeight="1">
      <c r="A282" s="28"/>
      <c r="B282" s="28"/>
      <c r="C282" s="45"/>
      <c r="D282" s="45"/>
      <c r="E282" s="50"/>
      <c r="F282" s="28"/>
      <c r="G282" s="28"/>
      <c r="H282" s="28"/>
      <c r="I282" s="49"/>
      <c r="J282" s="49"/>
      <c r="K282" s="80"/>
      <c r="L282" s="106"/>
      <c r="M282" s="34"/>
      <c r="N282" s="34"/>
      <c r="O282" s="34"/>
      <c r="P282" s="34"/>
      <c r="Q282" s="28"/>
      <c r="R282" s="49"/>
      <c r="S282" s="1"/>
      <c r="T282" s="95"/>
      <c r="U282" s="45"/>
      <c r="V282" s="34"/>
      <c r="W282" s="50"/>
    </row>
    <row r="283" ht="15.75" customHeight="1">
      <c r="A283" s="28"/>
      <c r="B283" s="28"/>
      <c r="C283" s="45"/>
      <c r="D283" s="45"/>
      <c r="E283" s="50"/>
      <c r="F283" s="28"/>
      <c r="G283" s="28"/>
      <c r="H283" s="28"/>
      <c r="I283" s="49"/>
      <c r="J283" s="49"/>
      <c r="K283" s="80"/>
      <c r="L283" s="106"/>
      <c r="M283" s="34"/>
      <c r="N283" s="34"/>
      <c r="O283" s="34"/>
      <c r="P283" s="34"/>
      <c r="Q283" s="28"/>
      <c r="R283" s="49"/>
      <c r="S283" s="1"/>
      <c r="T283" s="95"/>
      <c r="U283" s="45"/>
      <c r="V283" s="34"/>
      <c r="W283" s="50"/>
    </row>
    <row r="284" ht="15.75" customHeight="1">
      <c r="A284" s="28"/>
      <c r="B284" s="28"/>
      <c r="C284" s="45"/>
      <c r="D284" s="45"/>
      <c r="E284" s="50"/>
      <c r="F284" s="28"/>
      <c r="G284" s="28"/>
      <c r="H284" s="28"/>
      <c r="I284" s="49"/>
      <c r="J284" s="49"/>
      <c r="K284" s="80"/>
      <c r="L284" s="106"/>
      <c r="M284" s="34"/>
      <c r="N284" s="34"/>
      <c r="O284" s="34"/>
      <c r="P284" s="34"/>
      <c r="Q284" s="28"/>
      <c r="R284" s="49"/>
      <c r="S284" s="1"/>
      <c r="T284" s="95"/>
      <c r="U284" s="45"/>
      <c r="V284" s="34"/>
      <c r="W284" s="50"/>
    </row>
    <row r="285" ht="15.75" customHeight="1">
      <c r="A285" s="28"/>
      <c r="B285" s="28"/>
      <c r="C285" s="45"/>
      <c r="D285" s="45"/>
      <c r="E285" s="50"/>
      <c r="F285" s="28"/>
      <c r="G285" s="28"/>
      <c r="H285" s="28"/>
      <c r="I285" s="49"/>
      <c r="J285" s="49"/>
      <c r="K285" s="80"/>
      <c r="L285" s="106"/>
      <c r="M285" s="34"/>
      <c r="N285" s="34"/>
      <c r="O285" s="34"/>
      <c r="P285" s="34"/>
      <c r="Q285" s="28"/>
      <c r="R285" s="49"/>
      <c r="S285" s="1"/>
      <c r="T285" s="95"/>
      <c r="U285" s="45"/>
      <c r="V285" s="34"/>
      <c r="W285" s="50"/>
    </row>
    <row r="286" ht="15.75" customHeight="1">
      <c r="A286" s="28"/>
      <c r="B286" s="28"/>
      <c r="C286" s="45"/>
      <c r="D286" s="45"/>
      <c r="E286" s="50"/>
      <c r="F286" s="28"/>
      <c r="G286" s="28"/>
      <c r="H286" s="28"/>
      <c r="I286" s="49"/>
      <c r="J286" s="49"/>
      <c r="K286" s="80"/>
      <c r="L286" s="106"/>
      <c r="M286" s="34"/>
      <c r="N286" s="34"/>
      <c r="O286" s="34"/>
      <c r="P286" s="34"/>
      <c r="Q286" s="28"/>
      <c r="R286" s="49"/>
      <c r="S286" s="1"/>
      <c r="T286" s="95"/>
      <c r="U286" s="45"/>
      <c r="V286" s="34"/>
      <c r="W286" s="50"/>
    </row>
    <row r="287" ht="15.75" customHeight="1">
      <c r="A287" s="28"/>
      <c r="B287" s="28"/>
      <c r="C287" s="45"/>
      <c r="D287" s="45"/>
      <c r="E287" s="50"/>
      <c r="F287" s="28"/>
      <c r="G287" s="28"/>
      <c r="H287" s="28"/>
      <c r="I287" s="49"/>
      <c r="J287" s="49"/>
      <c r="K287" s="80"/>
      <c r="L287" s="106"/>
      <c r="M287" s="34"/>
      <c r="N287" s="34"/>
      <c r="O287" s="34"/>
      <c r="P287" s="34"/>
      <c r="Q287" s="28"/>
      <c r="R287" s="49"/>
      <c r="S287" s="1"/>
      <c r="T287" s="95"/>
      <c r="U287" s="45"/>
      <c r="V287" s="34"/>
      <c r="W287" s="50"/>
    </row>
    <row r="288" ht="15.75" customHeight="1">
      <c r="A288" s="28"/>
      <c r="B288" s="28"/>
      <c r="C288" s="45"/>
      <c r="D288" s="45"/>
      <c r="E288" s="50"/>
      <c r="F288" s="28"/>
      <c r="G288" s="28"/>
      <c r="H288" s="28"/>
      <c r="I288" s="49"/>
      <c r="J288" s="49"/>
      <c r="K288" s="80"/>
      <c r="L288" s="106"/>
      <c r="M288" s="34"/>
      <c r="N288" s="34"/>
      <c r="O288" s="34"/>
      <c r="P288" s="34"/>
      <c r="Q288" s="28"/>
      <c r="R288" s="49"/>
      <c r="S288" s="1"/>
      <c r="T288" s="95"/>
      <c r="U288" s="45"/>
      <c r="V288" s="34"/>
      <c r="W288" s="50"/>
    </row>
    <row r="289" ht="15.75" customHeight="1">
      <c r="A289" s="28"/>
      <c r="B289" s="28"/>
      <c r="C289" s="45"/>
      <c r="D289" s="45"/>
      <c r="E289" s="50"/>
      <c r="F289" s="28"/>
      <c r="G289" s="28"/>
      <c r="H289" s="28"/>
      <c r="I289" s="49"/>
      <c r="J289" s="49"/>
      <c r="K289" s="80"/>
      <c r="L289" s="106"/>
      <c r="M289" s="34"/>
      <c r="N289" s="34"/>
      <c r="O289" s="34"/>
      <c r="P289" s="34"/>
      <c r="Q289" s="28"/>
      <c r="R289" s="49"/>
      <c r="S289" s="1"/>
      <c r="T289" s="95"/>
      <c r="U289" s="45"/>
      <c r="V289" s="34"/>
      <c r="W289" s="50"/>
    </row>
    <row r="290" ht="15.75" customHeight="1">
      <c r="A290" s="28"/>
      <c r="B290" s="28"/>
      <c r="C290" s="45"/>
      <c r="D290" s="45"/>
      <c r="E290" s="50"/>
      <c r="F290" s="28"/>
      <c r="G290" s="28"/>
      <c r="H290" s="28"/>
      <c r="I290" s="49"/>
      <c r="J290" s="49"/>
      <c r="K290" s="80"/>
      <c r="L290" s="106"/>
      <c r="M290" s="34"/>
      <c r="N290" s="34"/>
      <c r="O290" s="34"/>
      <c r="P290" s="34"/>
      <c r="Q290" s="28"/>
      <c r="R290" s="49"/>
      <c r="S290" s="1"/>
      <c r="T290" s="95"/>
      <c r="U290" s="45"/>
      <c r="V290" s="34"/>
      <c r="W290" s="50"/>
    </row>
    <row r="291" ht="15.75" customHeight="1">
      <c r="A291" s="28"/>
      <c r="B291" s="28"/>
      <c r="C291" s="45"/>
      <c r="D291" s="45"/>
      <c r="E291" s="50"/>
      <c r="F291" s="28"/>
      <c r="G291" s="28"/>
      <c r="H291" s="28"/>
      <c r="I291" s="49"/>
      <c r="J291" s="49"/>
      <c r="K291" s="80"/>
      <c r="L291" s="106"/>
      <c r="M291" s="34"/>
      <c r="N291" s="34"/>
      <c r="O291" s="34"/>
      <c r="P291" s="34"/>
      <c r="Q291" s="28"/>
      <c r="R291" s="49"/>
      <c r="S291" s="1"/>
      <c r="T291" s="95"/>
      <c r="U291" s="45"/>
      <c r="V291" s="34"/>
      <c r="W291" s="50"/>
    </row>
    <row r="292" ht="15.75" customHeight="1">
      <c r="A292" s="28"/>
      <c r="B292" s="28"/>
      <c r="C292" s="45"/>
      <c r="D292" s="45"/>
      <c r="E292" s="50"/>
      <c r="F292" s="28"/>
      <c r="G292" s="28"/>
      <c r="H292" s="28"/>
      <c r="I292" s="49"/>
      <c r="J292" s="49"/>
      <c r="K292" s="80"/>
      <c r="L292" s="106"/>
      <c r="M292" s="34"/>
      <c r="N292" s="34"/>
      <c r="O292" s="34"/>
      <c r="P292" s="34"/>
      <c r="Q292" s="28"/>
      <c r="R292" s="49"/>
      <c r="S292" s="1"/>
      <c r="T292" s="95"/>
      <c r="U292" s="45"/>
      <c r="V292" s="34"/>
      <c r="W292" s="50"/>
    </row>
    <row r="293" ht="15.75" customHeight="1">
      <c r="A293" s="28"/>
      <c r="B293" s="28"/>
      <c r="C293" s="45"/>
      <c r="D293" s="45"/>
      <c r="E293" s="50"/>
      <c r="F293" s="28"/>
      <c r="G293" s="28"/>
      <c r="H293" s="28"/>
      <c r="I293" s="49"/>
      <c r="J293" s="49"/>
      <c r="K293" s="80"/>
      <c r="L293" s="106"/>
      <c r="M293" s="34"/>
      <c r="N293" s="34"/>
      <c r="O293" s="34"/>
      <c r="P293" s="34"/>
      <c r="Q293" s="28"/>
      <c r="R293" s="49"/>
      <c r="S293" s="1"/>
      <c r="T293" s="95"/>
      <c r="U293" s="45"/>
      <c r="V293" s="34"/>
      <c r="W293" s="50"/>
    </row>
    <row r="294" ht="15.75" customHeight="1">
      <c r="A294" s="28"/>
      <c r="B294" s="28"/>
      <c r="C294" s="45"/>
      <c r="D294" s="45"/>
      <c r="E294" s="50"/>
      <c r="F294" s="28"/>
      <c r="G294" s="28"/>
      <c r="H294" s="28"/>
      <c r="I294" s="49"/>
      <c r="J294" s="49"/>
      <c r="K294" s="80"/>
      <c r="L294" s="106"/>
      <c r="M294" s="34"/>
      <c r="N294" s="34"/>
      <c r="O294" s="34"/>
      <c r="P294" s="34"/>
      <c r="Q294" s="28"/>
      <c r="R294" s="49"/>
      <c r="S294" s="1"/>
      <c r="T294" s="95"/>
      <c r="U294" s="45"/>
      <c r="V294" s="34"/>
      <c r="W294" s="50"/>
    </row>
    <row r="295" ht="15.75" customHeight="1">
      <c r="A295" s="28"/>
      <c r="B295" s="28"/>
      <c r="C295" s="45"/>
      <c r="D295" s="45"/>
      <c r="E295" s="50"/>
      <c r="F295" s="28"/>
      <c r="G295" s="28"/>
      <c r="H295" s="28"/>
      <c r="I295" s="49"/>
      <c r="J295" s="49"/>
      <c r="K295" s="80"/>
      <c r="L295" s="106"/>
      <c r="M295" s="34"/>
      <c r="N295" s="34"/>
      <c r="O295" s="34"/>
      <c r="P295" s="34"/>
      <c r="Q295" s="28"/>
      <c r="R295" s="49"/>
      <c r="S295" s="1"/>
      <c r="T295" s="95"/>
      <c r="U295" s="45"/>
      <c r="V295" s="34"/>
      <c r="W295" s="50"/>
    </row>
    <row r="296" ht="15.75" customHeight="1">
      <c r="A296" s="28"/>
      <c r="B296" s="28"/>
      <c r="C296" s="45"/>
      <c r="D296" s="45"/>
      <c r="E296" s="50"/>
      <c r="F296" s="28"/>
      <c r="G296" s="28"/>
      <c r="H296" s="28"/>
      <c r="I296" s="49"/>
      <c r="J296" s="49"/>
      <c r="K296" s="80"/>
      <c r="L296" s="106"/>
      <c r="M296" s="34"/>
      <c r="N296" s="34"/>
      <c r="O296" s="34"/>
      <c r="P296" s="34"/>
      <c r="Q296" s="28"/>
      <c r="R296" s="49"/>
      <c r="S296" s="1"/>
      <c r="T296" s="95"/>
      <c r="U296" s="45"/>
      <c r="V296" s="34"/>
      <c r="W296" s="50"/>
    </row>
    <row r="297" ht="15.75" customHeight="1">
      <c r="A297" s="28"/>
      <c r="B297" s="28"/>
      <c r="C297" s="45"/>
      <c r="D297" s="45"/>
      <c r="E297" s="50"/>
      <c r="F297" s="28"/>
      <c r="G297" s="28"/>
      <c r="H297" s="28"/>
      <c r="I297" s="49"/>
      <c r="J297" s="49"/>
      <c r="K297" s="80"/>
      <c r="L297" s="106"/>
      <c r="M297" s="34"/>
      <c r="N297" s="34"/>
      <c r="O297" s="34"/>
      <c r="P297" s="34"/>
      <c r="Q297" s="28"/>
      <c r="R297" s="49"/>
      <c r="S297" s="1"/>
      <c r="T297" s="95"/>
      <c r="U297" s="45"/>
      <c r="V297" s="34"/>
      <c r="W297" s="50"/>
    </row>
    <row r="298" ht="15.75" customHeight="1">
      <c r="A298" s="28"/>
      <c r="B298" s="28"/>
      <c r="C298" s="45"/>
      <c r="D298" s="45"/>
      <c r="E298" s="50"/>
      <c r="F298" s="28"/>
      <c r="G298" s="28"/>
      <c r="H298" s="28"/>
      <c r="I298" s="49"/>
      <c r="J298" s="49"/>
      <c r="K298" s="80"/>
      <c r="L298" s="106"/>
      <c r="M298" s="34"/>
      <c r="N298" s="34"/>
      <c r="O298" s="34"/>
      <c r="P298" s="34"/>
      <c r="Q298" s="28"/>
      <c r="R298" s="49"/>
      <c r="S298" s="1"/>
      <c r="T298" s="95"/>
      <c r="U298" s="45"/>
      <c r="V298" s="34"/>
      <c r="W298" s="50"/>
    </row>
    <row r="299" ht="15.75" customHeight="1">
      <c r="A299" s="28"/>
      <c r="B299" s="28"/>
      <c r="C299" s="45"/>
      <c r="D299" s="45"/>
      <c r="E299" s="50"/>
      <c r="F299" s="28"/>
      <c r="G299" s="28"/>
      <c r="H299" s="28"/>
      <c r="I299" s="49"/>
      <c r="J299" s="49"/>
      <c r="K299" s="80"/>
      <c r="L299" s="106"/>
      <c r="M299" s="34"/>
      <c r="N299" s="34"/>
      <c r="O299" s="34"/>
      <c r="P299" s="34"/>
      <c r="Q299" s="28"/>
      <c r="R299" s="49"/>
      <c r="S299" s="1"/>
      <c r="T299" s="95"/>
      <c r="U299" s="45"/>
      <c r="V299" s="34"/>
      <c r="W299" s="50"/>
    </row>
    <row r="300" ht="15.75" customHeight="1">
      <c r="A300" s="28"/>
      <c r="B300" s="28"/>
      <c r="C300" s="45"/>
      <c r="D300" s="45"/>
      <c r="E300" s="50"/>
      <c r="F300" s="28"/>
      <c r="G300" s="28"/>
      <c r="H300" s="28"/>
      <c r="I300" s="49"/>
      <c r="J300" s="49"/>
      <c r="K300" s="80"/>
      <c r="L300" s="106"/>
      <c r="M300" s="34"/>
      <c r="N300" s="34"/>
      <c r="O300" s="34"/>
      <c r="P300" s="34"/>
      <c r="Q300" s="28"/>
      <c r="R300" s="49"/>
      <c r="S300" s="1"/>
      <c r="T300" s="95"/>
      <c r="U300" s="45"/>
      <c r="V300" s="34"/>
      <c r="W300" s="50"/>
    </row>
    <row r="301" ht="15.75" customHeight="1">
      <c r="A301" s="28"/>
      <c r="B301" s="28"/>
      <c r="C301" s="45"/>
      <c r="D301" s="45"/>
      <c r="E301" s="50"/>
      <c r="F301" s="28"/>
      <c r="G301" s="28"/>
      <c r="H301" s="28"/>
      <c r="I301" s="49"/>
      <c r="J301" s="49"/>
      <c r="K301" s="80"/>
      <c r="L301" s="106"/>
      <c r="M301" s="34"/>
      <c r="N301" s="34"/>
      <c r="O301" s="34"/>
      <c r="P301" s="34"/>
      <c r="Q301" s="28"/>
      <c r="R301" s="49"/>
      <c r="S301" s="1"/>
      <c r="T301" s="95"/>
      <c r="U301" s="45"/>
      <c r="V301" s="34"/>
      <c r="W301" s="50"/>
    </row>
    <row r="302" ht="15.75" customHeight="1">
      <c r="A302" s="28"/>
      <c r="B302" s="28"/>
      <c r="C302" s="45"/>
      <c r="D302" s="45"/>
      <c r="E302" s="50"/>
      <c r="F302" s="28"/>
      <c r="G302" s="28"/>
      <c r="H302" s="28"/>
      <c r="I302" s="49"/>
      <c r="J302" s="49"/>
      <c r="K302" s="80"/>
      <c r="L302" s="106"/>
      <c r="M302" s="34"/>
      <c r="N302" s="34"/>
      <c r="O302" s="34"/>
      <c r="P302" s="34"/>
      <c r="Q302" s="28"/>
      <c r="R302" s="49"/>
      <c r="S302" s="1"/>
      <c r="T302" s="95"/>
      <c r="U302" s="45"/>
      <c r="V302" s="34"/>
      <c r="W302" s="50"/>
    </row>
    <row r="303" ht="15.75" customHeight="1">
      <c r="A303" s="28"/>
      <c r="B303" s="28"/>
      <c r="C303" s="45"/>
      <c r="D303" s="45"/>
      <c r="E303" s="50"/>
      <c r="F303" s="28"/>
      <c r="G303" s="28"/>
      <c r="H303" s="28"/>
      <c r="I303" s="49"/>
      <c r="J303" s="49"/>
      <c r="K303" s="80"/>
      <c r="L303" s="106"/>
      <c r="M303" s="34"/>
      <c r="N303" s="34"/>
      <c r="O303" s="34"/>
      <c r="P303" s="34"/>
      <c r="Q303" s="28"/>
      <c r="R303" s="49"/>
      <c r="S303" s="1"/>
      <c r="T303" s="95"/>
      <c r="U303" s="45"/>
      <c r="V303" s="34"/>
      <c r="W303" s="50"/>
    </row>
    <row r="304" ht="15.75" customHeight="1">
      <c r="A304" s="28"/>
      <c r="B304" s="28"/>
      <c r="C304" s="45"/>
      <c r="D304" s="45"/>
      <c r="E304" s="50"/>
      <c r="F304" s="28"/>
      <c r="G304" s="28"/>
      <c r="H304" s="28"/>
      <c r="I304" s="49"/>
      <c r="J304" s="49"/>
      <c r="K304" s="80"/>
      <c r="L304" s="106"/>
      <c r="M304" s="34"/>
      <c r="N304" s="34"/>
      <c r="O304" s="34"/>
      <c r="P304" s="34"/>
      <c r="Q304" s="28"/>
      <c r="R304" s="49"/>
      <c r="S304" s="1"/>
      <c r="T304" s="95"/>
      <c r="U304" s="45"/>
      <c r="V304" s="34"/>
      <c r="W304" s="50"/>
    </row>
    <row r="305" ht="15.75" customHeight="1">
      <c r="A305" s="28"/>
      <c r="B305" s="28"/>
      <c r="C305" s="45"/>
      <c r="D305" s="45"/>
      <c r="E305" s="50"/>
      <c r="F305" s="28"/>
      <c r="G305" s="28"/>
      <c r="H305" s="28"/>
      <c r="I305" s="49"/>
      <c r="J305" s="49"/>
      <c r="K305" s="80"/>
      <c r="L305" s="106"/>
      <c r="M305" s="34"/>
      <c r="N305" s="34"/>
      <c r="O305" s="34"/>
      <c r="P305" s="34"/>
      <c r="Q305" s="28"/>
      <c r="R305" s="49"/>
      <c r="S305" s="1"/>
      <c r="T305" s="95"/>
      <c r="U305" s="45"/>
      <c r="V305" s="34"/>
      <c r="W305" s="50"/>
    </row>
    <row r="306" ht="15.75" customHeight="1">
      <c r="A306" s="28"/>
      <c r="B306" s="28"/>
      <c r="C306" s="45"/>
      <c r="D306" s="45"/>
      <c r="E306" s="50"/>
      <c r="F306" s="28"/>
      <c r="G306" s="28"/>
      <c r="H306" s="28"/>
      <c r="I306" s="49"/>
      <c r="J306" s="49"/>
      <c r="K306" s="80"/>
      <c r="L306" s="106"/>
      <c r="M306" s="34"/>
      <c r="N306" s="34"/>
      <c r="O306" s="34"/>
      <c r="P306" s="34"/>
      <c r="Q306" s="28"/>
      <c r="R306" s="49"/>
      <c r="S306" s="1"/>
      <c r="T306" s="95"/>
      <c r="U306" s="45"/>
      <c r="V306" s="34"/>
      <c r="W306" s="50"/>
    </row>
    <row r="307" ht="15.75" customHeight="1">
      <c r="A307" s="28"/>
      <c r="B307" s="28"/>
      <c r="C307" s="45"/>
      <c r="D307" s="45"/>
      <c r="E307" s="50"/>
      <c r="F307" s="28"/>
      <c r="G307" s="28"/>
      <c r="H307" s="28"/>
      <c r="I307" s="49"/>
      <c r="J307" s="49"/>
      <c r="K307" s="80"/>
      <c r="L307" s="106"/>
      <c r="M307" s="34"/>
      <c r="N307" s="34"/>
      <c r="O307" s="34"/>
      <c r="P307" s="34"/>
      <c r="Q307" s="28"/>
      <c r="R307" s="49"/>
      <c r="S307" s="1"/>
      <c r="T307" s="95"/>
      <c r="U307" s="45"/>
      <c r="V307" s="34"/>
      <c r="W307" s="50"/>
    </row>
    <row r="308" ht="15.75" customHeight="1">
      <c r="A308" s="28"/>
      <c r="B308" s="28"/>
      <c r="C308" s="45"/>
      <c r="D308" s="45"/>
      <c r="E308" s="50"/>
      <c r="F308" s="28"/>
      <c r="G308" s="28"/>
      <c r="H308" s="28"/>
      <c r="I308" s="49"/>
      <c r="J308" s="49"/>
      <c r="K308" s="80"/>
      <c r="L308" s="106"/>
      <c r="M308" s="34"/>
      <c r="N308" s="34"/>
      <c r="O308" s="34"/>
      <c r="P308" s="34"/>
      <c r="Q308" s="28"/>
      <c r="R308" s="49"/>
      <c r="S308" s="1"/>
      <c r="T308" s="95"/>
      <c r="U308" s="45"/>
      <c r="V308" s="34"/>
      <c r="W308" s="50"/>
    </row>
    <row r="309" ht="15.75" customHeight="1">
      <c r="A309" s="28"/>
      <c r="B309" s="28"/>
      <c r="C309" s="45"/>
      <c r="D309" s="45"/>
      <c r="E309" s="50"/>
      <c r="F309" s="28"/>
      <c r="G309" s="28"/>
      <c r="H309" s="28"/>
      <c r="I309" s="49"/>
      <c r="J309" s="49"/>
      <c r="K309" s="80"/>
      <c r="L309" s="106"/>
      <c r="M309" s="34"/>
      <c r="N309" s="34"/>
      <c r="O309" s="34"/>
      <c r="P309" s="34"/>
      <c r="Q309" s="28"/>
      <c r="R309" s="49"/>
      <c r="S309" s="1"/>
      <c r="T309" s="95"/>
      <c r="U309" s="45"/>
      <c r="V309" s="34"/>
      <c r="W309" s="50"/>
    </row>
    <row r="310" ht="15.75" customHeight="1">
      <c r="A310" s="28"/>
      <c r="B310" s="28"/>
      <c r="C310" s="45"/>
      <c r="D310" s="45"/>
      <c r="E310" s="50"/>
      <c r="F310" s="28"/>
      <c r="G310" s="28"/>
      <c r="H310" s="28"/>
      <c r="I310" s="49"/>
      <c r="J310" s="49"/>
      <c r="K310" s="80"/>
      <c r="L310" s="106"/>
      <c r="M310" s="34"/>
      <c r="N310" s="34"/>
      <c r="O310" s="34"/>
      <c r="P310" s="34"/>
      <c r="Q310" s="28"/>
      <c r="R310" s="49"/>
      <c r="S310" s="1"/>
      <c r="T310" s="95"/>
      <c r="U310" s="45"/>
      <c r="V310" s="34"/>
      <c r="W310" s="50"/>
    </row>
    <row r="311" ht="15.75" customHeight="1">
      <c r="A311" s="28"/>
      <c r="B311" s="28"/>
      <c r="C311" s="45"/>
      <c r="D311" s="45"/>
      <c r="E311" s="50"/>
      <c r="F311" s="28"/>
      <c r="G311" s="28"/>
      <c r="H311" s="28"/>
      <c r="I311" s="49"/>
      <c r="J311" s="49"/>
      <c r="K311" s="80"/>
      <c r="L311" s="106"/>
      <c r="M311" s="34"/>
      <c r="N311" s="34"/>
      <c r="O311" s="34"/>
      <c r="P311" s="34"/>
      <c r="Q311" s="28"/>
      <c r="R311" s="49"/>
      <c r="S311" s="1"/>
      <c r="T311" s="95"/>
      <c r="U311" s="45"/>
      <c r="V311" s="34"/>
      <c r="W311" s="50"/>
    </row>
    <row r="312" ht="15.75" customHeight="1">
      <c r="A312" s="28"/>
      <c r="B312" s="28"/>
      <c r="C312" s="45"/>
      <c r="D312" s="45"/>
      <c r="E312" s="50"/>
      <c r="F312" s="28"/>
      <c r="G312" s="28"/>
      <c r="H312" s="28"/>
      <c r="I312" s="49"/>
      <c r="J312" s="49"/>
      <c r="K312" s="80"/>
      <c r="L312" s="106"/>
      <c r="M312" s="34"/>
      <c r="N312" s="34"/>
      <c r="O312" s="34"/>
      <c r="P312" s="34"/>
      <c r="Q312" s="28"/>
      <c r="R312" s="49"/>
      <c r="S312" s="1"/>
      <c r="T312" s="95"/>
      <c r="U312" s="45"/>
      <c r="V312" s="34"/>
      <c r="W312" s="50"/>
    </row>
    <row r="313" ht="15.75" customHeight="1">
      <c r="A313" s="28"/>
      <c r="B313" s="28"/>
      <c r="C313" s="45"/>
      <c r="D313" s="45"/>
      <c r="E313" s="50"/>
      <c r="F313" s="28"/>
      <c r="G313" s="28"/>
      <c r="H313" s="28"/>
      <c r="I313" s="49"/>
      <c r="J313" s="49"/>
      <c r="K313" s="80"/>
      <c r="L313" s="106"/>
      <c r="M313" s="34"/>
      <c r="N313" s="34"/>
      <c r="O313" s="34"/>
      <c r="P313" s="34"/>
      <c r="Q313" s="28"/>
      <c r="R313" s="49"/>
      <c r="S313" s="1"/>
      <c r="T313" s="95"/>
      <c r="U313" s="45"/>
      <c r="V313" s="34"/>
      <c r="W313" s="50"/>
    </row>
    <row r="314" ht="15.75" customHeight="1">
      <c r="A314" s="28"/>
      <c r="B314" s="28"/>
      <c r="C314" s="45"/>
      <c r="D314" s="45"/>
      <c r="E314" s="50"/>
      <c r="F314" s="28"/>
      <c r="G314" s="28"/>
      <c r="H314" s="28"/>
      <c r="I314" s="49"/>
      <c r="J314" s="49"/>
      <c r="K314" s="80"/>
      <c r="L314" s="106"/>
      <c r="M314" s="34"/>
      <c r="N314" s="34"/>
      <c r="O314" s="34"/>
      <c r="P314" s="34"/>
      <c r="Q314" s="28"/>
      <c r="R314" s="49"/>
      <c r="S314" s="1"/>
      <c r="T314" s="95"/>
      <c r="U314" s="45"/>
      <c r="V314" s="34"/>
      <c r="W314" s="50"/>
    </row>
    <row r="315" ht="15.75" customHeight="1">
      <c r="A315" s="28"/>
      <c r="B315" s="28"/>
      <c r="C315" s="45"/>
      <c r="D315" s="45"/>
      <c r="E315" s="50"/>
      <c r="F315" s="28"/>
      <c r="G315" s="28"/>
      <c r="H315" s="28"/>
      <c r="I315" s="49"/>
      <c r="J315" s="49"/>
      <c r="K315" s="80"/>
      <c r="L315" s="106"/>
      <c r="M315" s="34"/>
      <c r="N315" s="34"/>
      <c r="O315" s="34"/>
      <c r="P315" s="34"/>
      <c r="Q315" s="28"/>
      <c r="R315" s="49"/>
      <c r="S315" s="1"/>
      <c r="T315" s="95"/>
      <c r="U315" s="45"/>
      <c r="V315" s="34"/>
      <c r="W315" s="50"/>
    </row>
    <row r="316" ht="15.75" customHeight="1">
      <c r="A316" s="28"/>
      <c r="B316" s="28"/>
      <c r="C316" s="45"/>
      <c r="D316" s="45"/>
      <c r="E316" s="50"/>
      <c r="F316" s="28"/>
      <c r="G316" s="28"/>
      <c r="H316" s="28"/>
      <c r="I316" s="49"/>
      <c r="J316" s="49"/>
      <c r="K316" s="80"/>
      <c r="L316" s="106"/>
      <c r="M316" s="34"/>
      <c r="N316" s="34"/>
      <c r="O316" s="34"/>
      <c r="P316" s="34"/>
      <c r="Q316" s="28"/>
      <c r="R316" s="49"/>
      <c r="S316" s="1"/>
      <c r="T316" s="95"/>
      <c r="U316" s="45"/>
      <c r="V316" s="34"/>
      <c r="W316" s="50"/>
    </row>
    <row r="317" ht="15.75" customHeight="1">
      <c r="A317" s="28"/>
      <c r="B317" s="28"/>
      <c r="C317" s="45"/>
      <c r="D317" s="45"/>
      <c r="E317" s="50"/>
      <c r="F317" s="28"/>
      <c r="G317" s="28"/>
      <c r="H317" s="28"/>
      <c r="I317" s="49"/>
      <c r="J317" s="49"/>
      <c r="K317" s="80"/>
      <c r="L317" s="106"/>
      <c r="M317" s="34"/>
      <c r="N317" s="34"/>
      <c r="O317" s="34"/>
      <c r="P317" s="34"/>
      <c r="Q317" s="28"/>
      <c r="R317" s="49"/>
      <c r="S317" s="1"/>
      <c r="T317" s="95"/>
      <c r="U317" s="45"/>
      <c r="V317" s="34"/>
      <c r="W317" s="50"/>
    </row>
    <row r="318" ht="15.75" customHeight="1">
      <c r="A318" s="28"/>
      <c r="B318" s="28"/>
      <c r="C318" s="45"/>
      <c r="D318" s="45"/>
      <c r="E318" s="50"/>
      <c r="F318" s="28"/>
      <c r="G318" s="28"/>
      <c r="H318" s="28"/>
      <c r="I318" s="49"/>
      <c r="J318" s="49"/>
      <c r="K318" s="80"/>
      <c r="L318" s="106"/>
      <c r="M318" s="34"/>
      <c r="N318" s="34"/>
      <c r="O318" s="34"/>
      <c r="P318" s="34"/>
      <c r="Q318" s="28"/>
      <c r="R318" s="49"/>
      <c r="S318" s="1"/>
      <c r="T318" s="95"/>
      <c r="U318" s="45"/>
      <c r="V318" s="34"/>
      <c r="W318" s="50"/>
    </row>
    <row r="319" ht="15.75" customHeight="1">
      <c r="A319" s="28"/>
      <c r="B319" s="28"/>
      <c r="C319" s="45"/>
      <c r="D319" s="45"/>
      <c r="E319" s="50"/>
      <c r="F319" s="28"/>
      <c r="G319" s="28"/>
      <c r="H319" s="28"/>
      <c r="I319" s="49"/>
      <c r="J319" s="49"/>
      <c r="K319" s="80"/>
      <c r="L319" s="106"/>
      <c r="M319" s="34"/>
      <c r="N319" s="34"/>
      <c r="O319" s="34"/>
      <c r="P319" s="34"/>
      <c r="Q319" s="28"/>
      <c r="R319" s="49"/>
      <c r="S319" s="1"/>
      <c r="T319" s="95"/>
      <c r="U319" s="45"/>
      <c r="V319" s="34"/>
      <c r="W319" s="50"/>
    </row>
    <row r="320" ht="15.75" customHeight="1">
      <c r="A320" s="28"/>
      <c r="B320" s="28"/>
      <c r="C320" s="45"/>
      <c r="D320" s="45"/>
      <c r="E320" s="50"/>
      <c r="F320" s="28"/>
      <c r="G320" s="28"/>
      <c r="H320" s="28"/>
      <c r="I320" s="49"/>
      <c r="J320" s="49"/>
      <c r="K320" s="80"/>
      <c r="L320" s="106"/>
      <c r="M320" s="34"/>
      <c r="N320" s="34"/>
      <c r="O320" s="34"/>
      <c r="P320" s="34"/>
      <c r="Q320" s="28"/>
      <c r="R320" s="49"/>
      <c r="S320" s="1"/>
      <c r="T320" s="95"/>
      <c r="U320" s="45"/>
      <c r="V320" s="34"/>
      <c r="W320" s="50"/>
    </row>
    <row r="321" ht="15.75" customHeight="1">
      <c r="A321" s="28"/>
      <c r="B321" s="28"/>
      <c r="C321" s="45"/>
      <c r="D321" s="45"/>
      <c r="E321" s="50"/>
      <c r="F321" s="28"/>
      <c r="G321" s="28"/>
      <c r="H321" s="28"/>
      <c r="I321" s="49"/>
      <c r="J321" s="49"/>
      <c r="K321" s="80"/>
      <c r="L321" s="106"/>
      <c r="M321" s="34"/>
      <c r="N321" s="34"/>
      <c r="O321" s="34"/>
      <c r="P321" s="34"/>
      <c r="Q321" s="28"/>
      <c r="R321" s="49"/>
      <c r="S321" s="1"/>
      <c r="T321" s="95"/>
      <c r="U321" s="45"/>
      <c r="V321" s="34"/>
      <c r="W321" s="50"/>
    </row>
    <row r="322" ht="15.75" customHeight="1">
      <c r="A322" s="28"/>
      <c r="B322" s="28"/>
      <c r="C322" s="45"/>
      <c r="D322" s="45"/>
      <c r="E322" s="50"/>
      <c r="F322" s="28"/>
      <c r="G322" s="28"/>
      <c r="H322" s="28"/>
      <c r="I322" s="49"/>
      <c r="J322" s="49"/>
      <c r="K322" s="80"/>
      <c r="L322" s="106"/>
      <c r="M322" s="34"/>
      <c r="N322" s="34"/>
      <c r="O322" s="34"/>
      <c r="P322" s="34"/>
      <c r="Q322" s="28"/>
      <c r="R322" s="49"/>
      <c r="S322" s="1"/>
      <c r="T322" s="95"/>
      <c r="U322" s="45"/>
      <c r="V322" s="34"/>
      <c r="W322" s="50"/>
    </row>
    <row r="323" ht="15.75" customHeight="1">
      <c r="A323" s="28"/>
      <c r="B323" s="28"/>
      <c r="C323" s="45"/>
      <c r="D323" s="45"/>
      <c r="E323" s="50"/>
      <c r="F323" s="28"/>
      <c r="G323" s="28"/>
      <c r="H323" s="28"/>
      <c r="I323" s="49"/>
      <c r="J323" s="49"/>
      <c r="K323" s="80"/>
      <c r="L323" s="106"/>
      <c r="M323" s="34"/>
      <c r="N323" s="34"/>
      <c r="O323" s="34"/>
      <c r="P323" s="34"/>
      <c r="Q323" s="28"/>
      <c r="R323" s="49"/>
      <c r="S323" s="1"/>
      <c r="T323" s="95"/>
      <c r="U323" s="45"/>
      <c r="V323" s="34"/>
      <c r="W323" s="50"/>
    </row>
    <row r="324" ht="15.75" customHeight="1">
      <c r="A324" s="28"/>
      <c r="B324" s="28"/>
      <c r="C324" s="45"/>
      <c r="D324" s="45"/>
      <c r="E324" s="50"/>
      <c r="F324" s="28"/>
      <c r="G324" s="28"/>
      <c r="H324" s="28"/>
      <c r="I324" s="49"/>
      <c r="J324" s="49"/>
      <c r="K324" s="80"/>
      <c r="L324" s="106"/>
      <c r="M324" s="34"/>
      <c r="N324" s="34"/>
      <c r="O324" s="34"/>
      <c r="P324" s="34"/>
      <c r="Q324" s="28"/>
      <c r="R324" s="49"/>
      <c r="S324" s="1"/>
      <c r="T324" s="95"/>
      <c r="U324" s="45"/>
      <c r="V324" s="34"/>
      <c r="W324" s="50"/>
    </row>
    <row r="325" ht="15.75" customHeight="1">
      <c r="A325" s="28"/>
      <c r="B325" s="28"/>
      <c r="C325" s="45"/>
      <c r="D325" s="45"/>
      <c r="E325" s="50"/>
      <c r="F325" s="28"/>
      <c r="G325" s="28"/>
      <c r="H325" s="28"/>
      <c r="I325" s="49"/>
      <c r="J325" s="49"/>
      <c r="K325" s="80"/>
      <c r="L325" s="106"/>
      <c r="M325" s="34"/>
      <c r="N325" s="34"/>
      <c r="O325" s="34"/>
      <c r="P325" s="34"/>
      <c r="Q325" s="28"/>
      <c r="R325" s="49"/>
      <c r="S325" s="1"/>
      <c r="T325" s="95"/>
      <c r="U325" s="45"/>
      <c r="V325" s="34"/>
      <c r="W325" s="50"/>
    </row>
    <row r="326" ht="15.75" customHeight="1">
      <c r="A326" s="28"/>
      <c r="B326" s="28"/>
      <c r="C326" s="45"/>
      <c r="D326" s="45"/>
      <c r="E326" s="50"/>
      <c r="F326" s="28"/>
      <c r="G326" s="28"/>
      <c r="H326" s="28"/>
      <c r="I326" s="49"/>
      <c r="J326" s="49"/>
      <c r="K326" s="80"/>
      <c r="L326" s="106"/>
      <c r="M326" s="34"/>
      <c r="N326" s="34"/>
      <c r="O326" s="34"/>
      <c r="P326" s="34"/>
      <c r="Q326" s="28"/>
      <c r="R326" s="49"/>
      <c r="S326" s="1"/>
      <c r="T326" s="95"/>
      <c r="U326" s="45"/>
      <c r="V326" s="34"/>
      <c r="W326" s="50"/>
    </row>
    <row r="327" ht="15.75" customHeight="1">
      <c r="A327" s="28"/>
      <c r="B327" s="28"/>
      <c r="C327" s="45"/>
      <c r="D327" s="45"/>
      <c r="E327" s="50"/>
      <c r="F327" s="28"/>
      <c r="G327" s="28"/>
      <c r="H327" s="28"/>
      <c r="I327" s="49"/>
      <c r="J327" s="49"/>
      <c r="K327" s="80"/>
      <c r="L327" s="106"/>
      <c r="M327" s="34"/>
      <c r="N327" s="34"/>
      <c r="O327" s="34"/>
      <c r="P327" s="34"/>
      <c r="Q327" s="28"/>
      <c r="R327" s="49"/>
      <c r="S327" s="1"/>
      <c r="T327" s="95"/>
      <c r="U327" s="45"/>
      <c r="V327" s="34"/>
      <c r="W327" s="50"/>
    </row>
    <row r="328" ht="15.75" customHeight="1">
      <c r="A328" s="28"/>
      <c r="B328" s="28"/>
      <c r="C328" s="45"/>
      <c r="D328" s="45"/>
      <c r="E328" s="50"/>
      <c r="F328" s="28"/>
      <c r="G328" s="28"/>
      <c r="H328" s="28"/>
      <c r="I328" s="49"/>
      <c r="J328" s="49"/>
      <c r="K328" s="80"/>
      <c r="L328" s="106"/>
      <c r="M328" s="34"/>
      <c r="N328" s="34"/>
      <c r="O328" s="34"/>
      <c r="P328" s="34"/>
      <c r="Q328" s="28"/>
      <c r="R328" s="49"/>
      <c r="S328" s="1"/>
      <c r="T328" s="95"/>
      <c r="U328" s="45"/>
      <c r="V328" s="34"/>
      <c r="W328" s="50"/>
    </row>
    <row r="329" ht="15.75" customHeight="1">
      <c r="A329" s="28"/>
      <c r="B329" s="28"/>
      <c r="C329" s="45"/>
      <c r="D329" s="45"/>
      <c r="E329" s="50"/>
      <c r="F329" s="28"/>
      <c r="G329" s="28"/>
      <c r="H329" s="28"/>
      <c r="I329" s="49"/>
      <c r="J329" s="49"/>
      <c r="K329" s="80"/>
      <c r="L329" s="106"/>
      <c r="M329" s="34"/>
      <c r="N329" s="34"/>
      <c r="O329" s="34"/>
      <c r="P329" s="34"/>
      <c r="Q329" s="28"/>
      <c r="R329" s="49"/>
      <c r="S329" s="1"/>
      <c r="T329" s="95"/>
      <c r="U329" s="45"/>
      <c r="V329" s="34"/>
      <c r="W329" s="50"/>
    </row>
    <row r="330" ht="15.75" customHeight="1">
      <c r="A330" s="28"/>
      <c r="B330" s="28"/>
      <c r="C330" s="45"/>
      <c r="D330" s="45"/>
      <c r="E330" s="50"/>
      <c r="F330" s="28"/>
      <c r="G330" s="28"/>
      <c r="H330" s="28"/>
      <c r="I330" s="49"/>
      <c r="J330" s="49"/>
      <c r="K330" s="80"/>
      <c r="L330" s="106"/>
      <c r="M330" s="34"/>
      <c r="N330" s="34"/>
      <c r="O330" s="34"/>
      <c r="P330" s="34"/>
      <c r="Q330" s="28"/>
      <c r="R330" s="49"/>
      <c r="S330" s="1"/>
      <c r="T330" s="95"/>
      <c r="U330" s="45"/>
      <c r="V330" s="34"/>
      <c r="W330" s="50"/>
    </row>
    <row r="331" ht="15.75" customHeight="1">
      <c r="A331" s="28"/>
      <c r="B331" s="28"/>
      <c r="C331" s="45"/>
      <c r="D331" s="45"/>
      <c r="E331" s="50"/>
      <c r="F331" s="28"/>
      <c r="G331" s="28"/>
      <c r="H331" s="28"/>
      <c r="I331" s="49"/>
      <c r="J331" s="49"/>
      <c r="K331" s="80"/>
      <c r="L331" s="106"/>
      <c r="M331" s="34"/>
      <c r="N331" s="34"/>
      <c r="O331" s="34"/>
      <c r="P331" s="34"/>
      <c r="Q331" s="28"/>
      <c r="R331" s="49"/>
      <c r="S331" s="1"/>
      <c r="T331" s="95"/>
      <c r="U331" s="45"/>
      <c r="V331" s="34"/>
      <c r="W331" s="50"/>
    </row>
    <row r="332" ht="15.75" customHeight="1">
      <c r="A332" s="28"/>
      <c r="B332" s="28"/>
      <c r="C332" s="45"/>
      <c r="D332" s="45"/>
      <c r="E332" s="50"/>
      <c r="F332" s="28"/>
      <c r="G332" s="28"/>
      <c r="H332" s="28"/>
      <c r="I332" s="49"/>
      <c r="J332" s="49"/>
      <c r="K332" s="80"/>
      <c r="L332" s="106"/>
      <c r="M332" s="34"/>
      <c r="N332" s="34"/>
      <c r="O332" s="34"/>
      <c r="P332" s="34"/>
      <c r="Q332" s="28"/>
      <c r="R332" s="49"/>
      <c r="S332" s="1"/>
      <c r="T332" s="95"/>
      <c r="U332" s="45"/>
      <c r="V332" s="34"/>
      <c r="W332" s="50"/>
    </row>
    <row r="333" ht="15.75" customHeight="1">
      <c r="A333" s="28"/>
      <c r="B333" s="28"/>
      <c r="C333" s="45"/>
      <c r="D333" s="45"/>
      <c r="E333" s="50"/>
      <c r="F333" s="28"/>
      <c r="G333" s="28"/>
      <c r="H333" s="28"/>
      <c r="I333" s="49"/>
      <c r="J333" s="49"/>
      <c r="K333" s="80"/>
      <c r="L333" s="106"/>
      <c r="M333" s="34"/>
      <c r="N333" s="34"/>
      <c r="O333" s="34"/>
      <c r="P333" s="34"/>
      <c r="Q333" s="28"/>
      <c r="R333" s="49"/>
      <c r="S333" s="1"/>
      <c r="T333" s="95"/>
      <c r="U333" s="45"/>
      <c r="V333" s="34"/>
      <c r="W333" s="50"/>
    </row>
    <row r="334" ht="15.75" customHeight="1">
      <c r="A334" s="28"/>
      <c r="B334" s="28"/>
      <c r="C334" s="45"/>
      <c r="D334" s="45"/>
      <c r="E334" s="50"/>
      <c r="F334" s="28"/>
      <c r="G334" s="28"/>
      <c r="H334" s="28"/>
      <c r="I334" s="49"/>
      <c r="J334" s="49"/>
      <c r="K334" s="80"/>
      <c r="L334" s="106"/>
      <c r="M334" s="34"/>
      <c r="N334" s="34"/>
      <c r="O334" s="34"/>
      <c r="P334" s="34"/>
      <c r="Q334" s="28"/>
      <c r="R334" s="49"/>
      <c r="S334" s="1"/>
      <c r="T334" s="95"/>
      <c r="U334" s="45"/>
      <c r="V334" s="34"/>
      <c r="W334" s="50"/>
    </row>
    <row r="335" ht="15.75" customHeight="1">
      <c r="A335" s="28"/>
      <c r="B335" s="28"/>
      <c r="C335" s="45"/>
      <c r="D335" s="45"/>
      <c r="E335" s="50"/>
      <c r="F335" s="28"/>
      <c r="G335" s="28"/>
      <c r="H335" s="28"/>
      <c r="I335" s="49"/>
      <c r="J335" s="49"/>
      <c r="K335" s="80"/>
      <c r="L335" s="106"/>
      <c r="M335" s="34"/>
      <c r="N335" s="34"/>
      <c r="O335" s="34"/>
      <c r="P335" s="34"/>
      <c r="Q335" s="28"/>
      <c r="R335" s="49"/>
      <c r="S335" s="1"/>
      <c r="T335" s="95"/>
      <c r="U335" s="45"/>
      <c r="V335" s="34"/>
      <c r="W335" s="50"/>
    </row>
    <row r="336" ht="15.75" customHeight="1">
      <c r="A336" s="28"/>
      <c r="B336" s="28"/>
      <c r="C336" s="45"/>
      <c r="D336" s="45"/>
      <c r="E336" s="50"/>
      <c r="F336" s="28"/>
      <c r="G336" s="28"/>
      <c r="H336" s="28"/>
      <c r="I336" s="49"/>
      <c r="J336" s="49"/>
      <c r="K336" s="80"/>
      <c r="L336" s="106"/>
      <c r="M336" s="34"/>
      <c r="N336" s="34"/>
      <c r="O336" s="34"/>
      <c r="P336" s="34"/>
      <c r="Q336" s="28"/>
      <c r="R336" s="49"/>
      <c r="S336" s="1"/>
      <c r="T336" s="95"/>
      <c r="U336" s="45"/>
      <c r="V336" s="34"/>
      <c r="W336" s="50"/>
    </row>
    <row r="337" ht="15.75" customHeight="1">
      <c r="A337" s="28"/>
      <c r="B337" s="28"/>
      <c r="C337" s="45"/>
      <c r="D337" s="45"/>
      <c r="E337" s="50"/>
      <c r="F337" s="28"/>
      <c r="G337" s="28"/>
      <c r="H337" s="28"/>
      <c r="I337" s="49"/>
      <c r="J337" s="49"/>
      <c r="K337" s="80"/>
      <c r="L337" s="106"/>
      <c r="M337" s="34"/>
      <c r="N337" s="34"/>
      <c r="O337" s="34"/>
      <c r="P337" s="34"/>
      <c r="Q337" s="28"/>
      <c r="R337" s="49"/>
      <c r="S337" s="1"/>
      <c r="T337" s="95"/>
      <c r="U337" s="45"/>
      <c r="V337" s="34"/>
      <c r="W337" s="50"/>
    </row>
    <row r="338" ht="15.75" customHeight="1">
      <c r="A338" s="28"/>
      <c r="B338" s="28"/>
      <c r="C338" s="45"/>
      <c r="D338" s="45"/>
      <c r="E338" s="50"/>
      <c r="F338" s="28"/>
      <c r="G338" s="28"/>
      <c r="H338" s="28"/>
      <c r="I338" s="49"/>
      <c r="J338" s="49"/>
      <c r="K338" s="80"/>
      <c r="L338" s="106"/>
      <c r="M338" s="34"/>
      <c r="N338" s="34"/>
      <c r="O338" s="34"/>
      <c r="P338" s="34"/>
      <c r="Q338" s="28"/>
      <c r="R338" s="49"/>
      <c r="S338" s="1"/>
      <c r="T338" s="95"/>
      <c r="U338" s="45"/>
      <c r="V338" s="34"/>
      <c r="W338" s="50"/>
    </row>
    <row r="339" ht="15.75" customHeight="1">
      <c r="A339" s="28"/>
      <c r="B339" s="28"/>
      <c r="C339" s="45"/>
      <c r="D339" s="45"/>
      <c r="E339" s="50"/>
      <c r="F339" s="28"/>
      <c r="G339" s="28"/>
      <c r="H339" s="28"/>
      <c r="I339" s="49"/>
      <c r="J339" s="49"/>
      <c r="K339" s="80"/>
      <c r="L339" s="106"/>
      <c r="M339" s="34"/>
      <c r="N339" s="34"/>
      <c r="O339" s="34"/>
      <c r="P339" s="34"/>
      <c r="Q339" s="28"/>
      <c r="R339" s="49"/>
      <c r="S339" s="1"/>
      <c r="T339" s="95"/>
      <c r="U339" s="45"/>
      <c r="V339" s="34"/>
      <c r="W339" s="50"/>
    </row>
    <row r="340" ht="15.75" customHeight="1">
      <c r="A340" s="28"/>
      <c r="B340" s="28"/>
      <c r="C340" s="45"/>
      <c r="D340" s="45"/>
      <c r="E340" s="50"/>
      <c r="F340" s="28"/>
      <c r="G340" s="28"/>
      <c r="H340" s="28"/>
      <c r="I340" s="49"/>
      <c r="J340" s="49"/>
      <c r="K340" s="80"/>
      <c r="L340" s="106"/>
      <c r="M340" s="34"/>
      <c r="N340" s="34"/>
      <c r="O340" s="34"/>
      <c r="P340" s="34"/>
      <c r="Q340" s="28"/>
      <c r="R340" s="49"/>
      <c r="S340" s="1"/>
      <c r="T340" s="95"/>
      <c r="U340" s="45"/>
      <c r="V340" s="34"/>
      <c r="W340" s="50"/>
    </row>
    <row r="341" ht="15.75" customHeight="1">
      <c r="A341" s="28"/>
      <c r="B341" s="28"/>
      <c r="C341" s="45"/>
      <c r="D341" s="45"/>
      <c r="E341" s="50"/>
      <c r="F341" s="28"/>
      <c r="G341" s="28"/>
      <c r="H341" s="28"/>
      <c r="I341" s="49"/>
      <c r="J341" s="49"/>
      <c r="K341" s="80"/>
      <c r="L341" s="106"/>
      <c r="M341" s="34"/>
      <c r="N341" s="34"/>
      <c r="O341" s="34"/>
      <c r="P341" s="34"/>
      <c r="Q341" s="28"/>
      <c r="R341" s="49"/>
      <c r="S341" s="1"/>
      <c r="T341" s="95"/>
      <c r="U341" s="45"/>
      <c r="V341" s="34"/>
      <c r="W341" s="50"/>
    </row>
    <row r="342" ht="15.75" customHeight="1">
      <c r="A342" s="28"/>
      <c r="B342" s="28"/>
      <c r="C342" s="45"/>
      <c r="D342" s="45"/>
      <c r="E342" s="50"/>
      <c r="F342" s="28"/>
      <c r="G342" s="28"/>
      <c r="H342" s="28"/>
      <c r="I342" s="49"/>
      <c r="J342" s="49"/>
      <c r="K342" s="80"/>
      <c r="L342" s="106"/>
      <c r="M342" s="34"/>
      <c r="N342" s="34"/>
      <c r="O342" s="34"/>
      <c r="P342" s="34"/>
      <c r="Q342" s="28"/>
      <c r="R342" s="49"/>
      <c r="S342" s="1"/>
      <c r="T342" s="95"/>
      <c r="U342" s="45"/>
      <c r="V342" s="34"/>
      <c r="W342" s="50"/>
    </row>
    <row r="343" ht="15.75" customHeight="1">
      <c r="A343" s="28"/>
      <c r="B343" s="28"/>
      <c r="C343" s="45"/>
      <c r="D343" s="45"/>
      <c r="E343" s="50"/>
      <c r="F343" s="28"/>
      <c r="G343" s="28"/>
      <c r="H343" s="28"/>
      <c r="I343" s="49"/>
      <c r="J343" s="49"/>
      <c r="K343" s="80"/>
      <c r="L343" s="106"/>
      <c r="M343" s="34"/>
      <c r="N343" s="34"/>
      <c r="O343" s="34"/>
      <c r="P343" s="34"/>
      <c r="Q343" s="28"/>
      <c r="R343" s="49"/>
      <c r="S343" s="1"/>
      <c r="T343" s="95"/>
      <c r="U343" s="45"/>
      <c r="V343" s="34"/>
      <c r="W343" s="50"/>
    </row>
    <row r="344" ht="15.75" customHeight="1">
      <c r="A344" s="28"/>
      <c r="B344" s="28"/>
      <c r="C344" s="45"/>
      <c r="D344" s="45"/>
      <c r="E344" s="50"/>
      <c r="F344" s="28"/>
      <c r="G344" s="28"/>
      <c r="H344" s="28"/>
      <c r="I344" s="49"/>
      <c r="J344" s="49"/>
      <c r="K344" s="80"/>
      <c r="L344" s="106"/>
      <c r="M344" s="34"/>
      <c r="N344" s="34"/>
      <c r="O344" s="34"/>
      <c r="P344" s="34"/>
      <c r="Q344" s="28"/>
      <c r="R344" s="49"/>
      <c r="S344" s="1"/>
      <c r="T344" s="95"/>
      <c r="U344" s="45"/>
      <c r="V344" s="34"/>
      <c r="W344" s="50"/>
    </row>
    <row r="345" ht="15.75" customHeight="1">
      <c r="A345" s="28"/>
      <c r="B345" s="28"/>
      <c r="C345" s="45"/>
      <c r="D345" s="45"/>
      <c r="E345" s="50"/>
      <c r="F345" s="28"/>
      <c r="G345" s="28"/>
      <c r="H345" s="28"/>
      <c r="I345" s="49"/>
      <c r="J345" s="49"/>
      <c r="K345" s="80"/>
      <c r="L345" s="106"/>
      <c r="M345" s="34"/>
      <c r="N345" s="34"/>
      <c r="O345" s="34"/>
      <c r="P345" s="34"/>
      <c r="Q345" s="28"/>
      <c r="R345" s="49"/>
      <c r="S345" s="1"/>
      <c r="T345" s="95"/>
      <c r="U345" s="45"/>
      <c r="V345" s="34"/>
      <c r="W345" s="50"/>
    </row>
    <row r="346" ht="15.75" customHeight="1">
      <c r="A346" s="28"/>
      <c r="B346" s="28"/>
      <c r="C346" s="45"/>
      <c r="D346" s="45"/>
      <c r="E346" s="50"/>
      <c r="F346" s="28"/>
      <c r="G346" s="28"/>
      <c r="H346" s="28"/>
      <c r="I346" s="49"/>
      <c r="J346" s="49"/>
      <c r="K346" s="80"/>
      <c r="L346" s="106"/>
      <c r="M346" s="34"/>
      <c r="N346" s="34"/>
      <c r="O346" s="34"/>
      <c r="P346" s="34"/>
      <c r="Q346" s="28"/>
      <c r="R346" s="49"/>
      <c r="S346" s="1"/>
      <c r="T346" s="95"/>
      <c r="U346" s="45"/>
      <c r="V346" s="34"/>
      <c r="W346" s="50"/>
    </row>
    <row r="347" ht="15.75" customHeight="1">
      <c r="A347" s="28"/>
      <c r="B347" s="28"/>
      <c r="C347" s="45"/>
      <c r="D347" s="45"/>
      <c r="E347" s="50"/>
      <c r="F347" s="28"/>
      <c r="G347" s="28"/>
      <c r="H347" s="28"/>
      <c r="I347" s="49"/>
      <c r="J347" s="49"/>
      <c r="K347" s="80"/>
      <c r="L347" s="106"/>
      <c r="M347" s="34"/>
      <c r="N347" s="34"/>
      <c r="O347" s="34"/>
      <c r="P347" s="34"/>
      <c r="Q347" s="28"/>
      <c r="R347" s="49"/>
      <c r="S347" s="1"/>
      <c r="T347" s="95"/>
      <c r="U347" s="45"/>
      <c r="V347" s="34"/>
      <c r="W347" s="50"/>
    </row>
    <row r="348" ht="15.75" customHeight="1">
      <c r="A348" s="28"/>
      <c r="B348" s="28"/>
      <c r="C348" s="45"/>
      <c r="D348" s="45"/>
      <c r="E348" s="50"/>
      <c r="F348" s="28"/>
      <c r="G348" s="28"/>
      <c r="H348" s="28"/>
      <c r="I348" s="49"/>
      <c r="J348" s="49"/>
      <c r="K348" s="80"/>
      <c r="L348" s="106"/>
      <c r="M348" s="34"/>
      <c r="N348" s="34"/>
      <c r="O348" s="34"/>
      <c r="P348" s="34"/>
      <c r="Q348" s="28"/>
      <c r="R348" s="49"/>
      <c r="S348" s="1"/>
      <c r="T348" s="95"/>
      <c r="U348" s="45"/>
      <c r="V348" s="34"/>
      <c r="W348" s="50"/>
    </row>
    <row r="349" ht="15.75" customHeight="1">
      <c r="A349" s="28"/>
      <c r="B349" s="28"/>
      <c r="C349" s="45"/>
      <c r="D349" s="45"/>
      <c r="E349" s="50"/>
      <c r="F349" s="28"/>
      <c r="G349" s="28"/>
      <c r="H349" s="28"/>
      <c r="I349" s="49"/>
      <c r="J349" s="49"/>
      <c r="K349" s="80"/>
      <c r="L349" s="106"/>
      <c r="M349" s="34"/>
      <c r="N349" s="34"/>
      <c r="O349" s="34"/>
      <c r="P349" s="34"/>
      <c r="Q349" s="28"/>
      <c r="R349" s="49"/>
      <c r="S349" s="1"/>
      <c r="T349" s="95"/>
      <c r="U349" s="45"/>
      <c r="V349" s="34"/>
      <c r="W349" s="50"/>
    </row>
    <row r="350" ht="15.75" customHeight="1">
      <c r="A350" s="28"/>
      <c r="B350" s="28"/>
      <c r="C350" s="45"/>
      <c r="D350" s="45"/>
      <c r="E350" s="50"/>
      <c r="F350" s="28"/>
      <c r="G350" s="28"/>
      <c r="H350" s="28"/>
      <c r="I350" s="49"/>
      <c r="J350" s="49"/>
      <c r="K350" s="80"/>
      <c r="L350" s="106"/>
      <c r="M350" s="34"/>
      <c r="N350" s="34"/>
      <c r="O350" s="34"/>
      <c r="P350" s="34"/>
      <c r="Q350" s="28"/>
      <c r="R350" s="49"/>
      <c r="S350" s="1"/>
      <c r="T350" s="95"/>
      <c r="U350" s="45"/>
      <c r="V350" s="34"/>
      <c r="W350" s="50"/>
    </row>
    <row r="351" ht="15.75" customHeight="1">
      <c r="A351" s="28"/>
      <c r="B351" s="28"/>
      <c r="C351" s="45"/>
      <c r="D351" s="45"/>
      <c r="E351" s="50"/>
      <c r="F351" s="28"/>
      <c r="G351" s="28"/>
      <c r="H351" s="28"/>
      <c r="I351" s="49"/>
      <c r="J351" s="49"/>
      <c r="K351" s="80"/>
      <c r="L351" s="106"/>
      <c r="M351" s="34"/>
      <c r="N351" s="34"/>
      <c r="O351" s="34"/>
      <c r="P351" s="34"/>
      <c r="Q351" s="28"/>
      <c r="R351" s="49"/>
      <c r="S351" s="1"/>
      <c r="T351" s="95"/>
      <c r="U351" s="45"/>
      <c r="V351" s="34"/>
      <c r="W351" s="50"/>
    </row>
    <row r="352" ht="15.75" customHeight="1">
      <c r="A352" s="28"/>
      <c r="B352" s="28"/>
      <c r="C352" s="45"/>
      <c r="D352" s="45"/>
      <c r="E352" s="50"/>
      <c r="F352" s="28"/>
      <c r="G352" s="28"/>
      <c r="H352" s="28"/>
      <c r="I352" s="49"/>
      <c r="J352" s="49"/>
      <c r="K352" s="80"/>
      <c r="L352" s="106"/>
      <c r="M352" s="34"/>
      <c r="N352" s="34"/>
      <c r="O352" s="34"/>
      <c r="P352" s="34"/>
      <c r="Q352" s="28"/>
      <c r="R352" s="49"/>
      <c r="S352" s="1"/>
      <c r="T352" s="95"/>
      <c r="U352" s="45"/>
      <c r="V352" s="34"/>
      <c r="W352" s="50"/>
    </row>
    <row r="353" ht="15.75" customHeight="1">
      <c r="A353" s="28"/>
      <c r="B353" s="28"/>
      <c r="C353" s="45"/>
      <c r="D353" s="45"/>
      <c r="E353" s="50"/>
      <c r="F353" s="28"/>
      <c r="G353" s="28"/>
      <c r="H353" s="28"/>
      <c r="I353" s="49"/>
      <c r="J353" s="49"/>
      <c r="K353" s="80"/>
      <c r="L353" s="106"/>
      <c r="M353" s="34"/>
      <c r="N353" s="34"/>
      <c r="O353" s="34"/>
      <c r="P353" s="34"/>
      <c r="Q353" s="28"/>
      <c r="R353" s="49"/>
      <c r="S353" s="1"/>
      <c r="T353" s="95"/>
      <c r="U353" s="45"/>
      <c r="V353" s="34"/>
      <c r="W353" s="50"/>
    </row>
    <row r="354" ht="15.75" customHeight="1">
      <c r="A354" s="28"/>
      <c r="B354" s="28"/>
      <c r="C354" s="45"/>
      <c r="D354" s="45"/>
      <c r="E354" s="50"/>
      <c r="F354" s="28"/>
      <c r="G354" s="28"/>
      <c r="H354" s="28"/>
      <c r="I354" s="49"/>
      <c r="J354" s="49"/>
      <c r="K354" s="80"/>
      <c r="L354" s="106"/>
      <c r="M354" s="34"/>
      <c r="N354" s="34"/>
      <c r="O354" s="34"/>
      <c r="P354" s="34"/>
      <c r="Q354" s="28"/>
      <c r="R354" s="49"/>
      <c r="S354" s="1"/>
      <c r="T354" s="95"/>
      <c r="U354" s="45"/>
      <c r="V354" s="34"/>
      <c r="W354" s="50"/>
    </row>
    <row r="355" ht="15.75" customHeight="1">
      <c r="A355" s="28"/>
      <c r="B355" s="28"/>
      <c r="C355" s="45"/>
      <c r="D355" s="45"/>
      <c r="E355" s="50"/>
      <c r="F355" s="28"/>
      <c r="G355" s="28"/>
      <c r="H355" s="28"/>
      <c r="I355" s="49"/>
      <c r="J355" s="49"/>
      <c r="K355" s="80"/>
      <c r="L355" s="106"/>
      <c r="M355" s="34"/>
      <c r="N355" s="34"/>
      <c r="O355" s="34"/>
      <c r="P355" s="34"/>
      <c r="Q355" s="28"/>
      <c r="R355" s="49"/>
      <c r="S355" s="1"/>
      <c r="T355" s="95"/>
      <c r="U355" s="45"/>
      <c r="V355" s="34"/>
      <c r="W355" s="50"/>
    </row>
    <row r="356" ht="15.75" customHeight="1">
      <c r="A356" s="28"/>
      <c r="B356" s="28"/>
      <c r="C356" s="45"/>
      <c r="D356" s="45"/>
      <c r="E356" s="50"/>
      <c r="F356" s="28"/>
      <c r="G356" s="28"/>
      <c r="H356" s="28"/>
      <c r="I356" s="49"/>
      <c r="J356" s="49"/>
      <c r="K356" s="80"/>
      <c r="L356" s="106"/>
      <c r="M356" s="34"/>
      <c r="N356" s="34"/>
      <c r="O356" s="34"/>
      <c r="P356" s="34"/>
      <c r="Q356" s="28"/>
      <c r="R356" s="49"/>
      <c r="S356" s="1"/>
      <c r="T356" s="95"/>
      <c r="U356" s="45"/>
      <c r="V356" s="34"/>
      <c r="W356" s="50"/>
    </row>
    <row r="357" ht="15.75" customHeight="1">
      <c r="A357" s="28"/>
      <c r="B357" s="28"/>
      <c r="C357" s="45"/>
      <c r="D357" s="45"/>
      <c r="E357" s="50"/>
      <c r="F357" s="28"/>
      <c r="G357" s="28"/>
      <c r="H357" s="28"/>
      <c r="I357" s="49"/>
      <c r="J357" s="49"/>
      <c r="K357" s="80"/>
      <c r="L357" s="106"/>
      <c r="M357" s="34"/>
      <c r="N357" s="34"/>
      <c r="O357" s="34"/>
      <c r="P357" s="34"/>
      <c r="Q357" s="28"/>
      <c r="R357" s="49"/>
      <c r="S357" s="1"/>
      <c r="T357" s="95"/>
      <c r="U357" s="45"/>
      <c r="V357" s="34"/>
      <c r="W357" s="50"/>
    </row>
    <row r="358" ht="15.75" customHeight="1">
      <c r="A358" s="28"/>
      <c r="B358" s="28"/>
      <c r="C358" s="45"/>
      <c r="D358" s="45"/>
      <c r="E358" s="50"/>
      <c r="F358" s="28"/>
      <c r="G358" s="28"/>
      <c r="H358" s="28"/>
      <c r="I358" s="49"/>
      <c r="J358" s="49"/>
      <c r="K358" s="80"/>
      <c r="L358" s="106"/>
      <c r="M358" s="34"/>
      <c r="N358" s="34"/>
      <c r="O358" s="34"/>
      <c r="P358" s="34"/>
      <c r="Q358" s="28"/>
      <c r="R358" s="49"/>
      <c r="S358" s="1"/>
      <c r="T358" s="95"/>
      <c r="U358" s="45"/>
      <c r="V358" s="34"/>
      <c r="W358" s="50"/>
    </row>
    <row r="359" ht="15.75" customHeight="1">
      <c r="A359" s="28"/>
      <c r="B359" s="28"/>
      <c r="C359" s="45"/>
      <c r="D359" s="45"/>
      <c r="E359" s="50"/>
      <c r="F359" s="28"/>
      <c r="G359" s="28"/>
      <c r="H359" s="28"/>
      <c r="I359" s="49"/>
      <c r="J359" s="49"/>
      <c r="K359" s="80"/>
      <c r="L359" s="106"/>
      <c r="M359" s="34"/>
      <c r="N359" s="34"/>
      <c r="O359" s="34"/>
      <c r="P359" s="34"/>
      <c r="Q359" s="28"/>
      <c r="R359" s="49"/>
      <c r="S359" s="1"/>
      <c r="T359" s="95"/>
      <c r="U359" s="45"/>
      <c r="V359" s="34"/>
      <c r="W359" s="50"/>
    </row>
    <row r="360" ht="15.75" customHeight="1">
      <c r="A360" s="28"/>
      <c r="B360" s="28"/>
      <c r="C360" s="45"/>
      <c r="D360" s="45"/>
      <c r="E360" s="50"/>
      <c r="F360" s="28"/>
      <c r="G360" s="28"/>
      <c r="H360" s="28"/>
      <c r="I360" s="49"/>
      <c r="J360" s="49"/>
      <c r="K360" s="80"/>
      <c r="L360" s="106"/>
      <c r="M360" s="34"/>
      <c r="N360" s="34"/>
      <c r="O360" s="34"/>
      <c r="P360" s="34"/>
      <c r="Q360" s="28"/>
      <c r="R360" s="49"/>
      <c r="S360" s="1"/>
      <c r="T360" s="95"/>
      <c r="U360" s="45"/>
      <c r="V360" s="34"/>
      <c r="W360" s="50"/>
    </row>
    <row r="361" ht="15.75" customHeight="1">
      <c r="A361" s="28"/>
      <c r="B361" s="28"/>
      <c r="C361" s="45"/>
      <c r="D361" s="45"/>
      <c r="E361" s="50"/>
      <c r="F361" s="28"/>
      <c r="G361" s="28"/>
      <c r="H361" s="28"/>
      <c r="I361" s="49"/>
      <c r="J361" s="49"/>
      <c r="K361" s="80"/>
      <c r="L361" s="106"/>
      <c r="M361" s="34"/>
      <c r="N361" s="34"/>
      <c r="O361" s="34"/>
      <c r="P361" s="34"/>
      <c r="Q361" s="28"/>
      <c r="R361" s="49"/>
      <c r="S361" s="1"/>
      <c r="T361" s="95"/>
      <c r="U361" s="45"/>
      <c r="V361" s="34"/>
      <c r="W361" s="50"/>
    </row>
    <row r="362" ht="15.75" customHeight="1">
      <c r="A362" s="28"/>
      <c r="B362" s="28"/>
      <c r="C362" s="45"/>
      <c r="D362" s="45"/>
      <c r="E362" s="50"/>
      <c r="F362" s="28"/>
      <c r="G362" s="28"/>
      <c r="H362" s="28"/>
      <c r="I362" s="49"/>
      <c r="J362" s="49"/>
      <c r="K362" s="80"/>
      <c r="L362" s="106"/>
      <c r="M362" s="34"/>
      <c r="N362" s="34"/>
      <c r="O362" s="34"/>
      <c r="P362" s="34"/>
      <c r="Q362" s="28"/>
      <c r="R362" s="49"/>
      <c r="S362" s="1"/>
      <c r="T362" s="95"/>
      <c r="U362" s="45"/>
      <c r="V362" s="34"/>
      <c r="W362" s="50"/>
    </row>
    <row r="363" ht="15.75" customHeight="1">
      <c r="A363" s="28"/>
      <c r="B363" s="28"/>
      <c r="C363" s="45"/>
      <c r="D363" s="45"/>
      <c r="E363" s="50"/>
      <c r="F363" s="28"/>
      <c r="G363" s="28"/>
      <c r="H363" s="28"/>
      <c r="I363" s="49"/>
      <c r="J363" s="49"/>
      <c r="K363" s="80"/>
      <c r="L363" s="106"/>
      <c r="M363" s="34"/>
      <c r="N363" s="34"/>
      <c r="O363" s="34"/>
      <c r="P363" s="34"/>
      <c r="Q363" s="28"/>
      <c r="R363" s="49"/>
      <c r="S363" s="1"/>
      <c r="T363" s="95"/>
      <c r="U363" s="45"/>
      <c r="V363" s="34"/>
      <c r="W363" s="50"/>
    </row>
    <row r="364" ht="15.75" customHeight="1">
      <c r="A364" s="28"/>
      <c r="B364" s="28"/>
      <c r="C364" s="45"/>
      <c r="D364" s="45"/>
      <c r="E364" s="50"/>
      <c r="F364" s="28"/>
      <c r="G364" s="28"/>
      <c r="H364" s="28"/>
      <c r="I364" s="49"/>
      <c r="J364" s="49"/>
      <c r="K364" s="80"/>
      <c r="L364" s="106"/>
      <c r="M364" s="34"/>
      <c r="N364" s="34"/>
      <c r="O364" s="34"/>
      <c r="P364" s="34"/>
      <c r="Q364" s="28"/>
      <c r="R364" s="49"/>
      <c r="S364" s="1"/>
      <c r="T364" s="95"/>
      <c r="U364" s="45"/>
      <c r="V364" s="34"/>
      <c r="W364" s="50"/>
    </row>
    <row r="365" ht="15.75" customHeight="1">
      <c r="A365" s="28"/>
      <c r="B365" s="28"/>
      <c r="C365" s="45"/>
      <c r="D365" s="45"/>
      <c r="E365" s="50"/>
      <c r="F365" s="28"/>
      <c r="G365" s="28"/>
      <c r="H365" s="28"/>
      <c r="I365" s="49"/>
      <c r="J365" s="49"/>
      <c r="K365" s="80"/>
      <c r="L365" s="106"/>
      <c r="M365" s="34"/>
      <c r="N365" s="34"/>
      <c r="O365" s="34"/>
      <c r="P365" s="34"/>
      <c r="Q365" s="28"/>
      <c r="R365" s="49"/>
      <c r="S365" s="1"/>
      <c r="T365" s="95"/>
      <c r="U365" s="45"/>
      <c r="V365" s="34"/>
      <c r="W365" s="50"/>
    </row>
    <row r="366" ht="15.75" customHeight="1">
      <c r="A366" s="28"/>
      <c r="B366" s="28"/>
      <c r="C366" s="45"/>
      <c r="D366" s="45"/>
      <c r="E366" s="50"/>
      <c r="F366" s="28"/>
      <c r="G366" s="28"/>
      <c r="H366" s="28"/>
      <c r="I366" s="49"/>
      <c r="J366" s="49"/>
      <c r="K366" s="80"/>
      <c r="L366" s="106"/>
      <c r="M366" s="34"/>
      <c r="N366" s="34"/>
      <c r="O366" s="34"/>
      <c r="P366" s="34"/>
      <c r="Q366" s="28"/>
      <c r="R366" s="49"/>
      <c r="S366" s="1"/>
      <c r="T366" s="95"/>
      <c r="U366" s="45"/>
      <c r="V366" s="34"/>
      <c r="W366" s="50"/>
    </row>
    <row r="367" ht="15.75" customHeight="1">
      <c r="A367" s="28"/>
      <c r="B367" s="28"/>
      <c r="C367" s="45"/>
      <c r="D367" s="45"/>
      <c r="E367" s="50"/>
      <c r="F367" s="28"/>
      <c r="G367" s="28"/>
      <c r="H367" s="28"/>
      <c r="I367" s="49"/>
      <c r="J367" s="49"/>
      <c r="K367" s="80"/>
      <c r="L367" s="106"/>
      <c r="M367" s="34"/>
      <c r="N367" s="34"/>
      <c r="O367" s="34"/>
      <c r="P367" s="34"/>
      <c r="Q367" s="28"/>
      <c r="R367" s="49"/>
      <c r="S367" s="1"/>
      <c r="T367" s="95"/>
      <c r="U367" s="45"/>
      <c r="V367" s="34"/>
      <c r="W367" s="50"/>
    </row>
    <row r="368" ht="15.75" customHeight="1">
      <c r="A368" s="28"/>
      <c r="B368" s="28"/>
      <c r="C368" s="45"/>
      <c r="D368" s="45"/>
      <c r="E368" s="50"/>
      <c r="F368" s="28"/>
      <c r="G368" s="28"/>
      <c r="H368" s="28"/>
      <c r="I368" s="49"/>
      <c r="J368" s="49"/>
      <c r="K368" s="80"/>
      <c r="L368" s="106"/>
      <c r="M368" s="34"/>
      <c r="N368" s="34"/>
      <c r="O368" s="34"/>
      <c r="P368" s="34"/>
      <c r="Q368" s="28"/>
      <c r="R368" s="49"/>
      <c r="S368" s="1"/>
      <c r="T368" s="95"/>
      <c r="U368" s="45"/>
      <c r="V368" s="34"/>
      <c r="W368" s="50"/>
    </row>
    <row r="369" ht="15.75" customHeight="1">
      <c r="A369" s="28"/>
      <c r="B369" s="28"/>
      <c r="C369" s="45"/>
      <c r="D369" s="45"/>
      <c r="E369" s="50"/>
      <c r="F369" s="28"/>
      <c r="G369" s="28"/>
      <c r="H369" s="28"/>
      <c r="I369" s="49"/>
      <c r="J369" s="49"/>
      <c r="K369" s="80"/>
      <c r="L369" s="106"/>
      <c r="M369" s="34"/>
      <c r="N369" s="34"/>
      <c r="O369" s="34"/>
      <c r="P369" s="34"/>
      <c r="Q369" s="28"/>
      <c r="R369" s="49"/>
      <c r="S369" s="1"/>
      <c r="T369" s="95"/>
      <c r="U369" s="45"/>
      <c r="V369" s="34"/>
      <c r="W369" s="50"/>
    </row>
    <row r="370" ht="15.75" customHeight="1">
      <c r="A370" s="28"/>
      <c r="B370" s="28"/>
      <c r="C370" s="45"/>
      <c r="D370" s="45"/>
      <c r="E370" s="50"/>
      <c r="F370" s="28"/>
      <c r="G370" s="28"/>
      <c r="H370" s="28"/>
      <c r="I370" s="49"/>
      <c r="J370" s="49"/>
      <c r="K370" s="80"/>
      <c r="L370" s="106"/>
      <c r="M370" s="34"/>
      <c r="N370" s="34"/>
      <c r="O370" s="34"/>
      <c r="P370" s="34"/>
      <c r="Q370" s="28"/>
      <c r="R370" s="49"/>
      <c r="S370" s="1"/>
      <c r="T370" s="95"/>
      <c r="U370" s="45"/>
      <c r="V370" s="34"/>
      <c r="W370" s="50"/>
    </row>
    <row r="371" ht="15.75" customHeight="1">
      <c r="A371" s="28"/>
      <c r="B371" s="28"/>
      <c r="C371" s="45"/>
      <c r="D371" s="45"/>
      <c r="E371" s="50"/>
      <c r="F371" s="28"/>
      <c r="G371" s="28"/>
      <c r="H371" s="28"/>
      <c r="I371" s="49"/>
      <c r="J371" s="49"/>
      <c r="K371" s="80"/>
      <c r="L371" s="106"/>
      <c r="M371" s="34"/>
      <c r="N371" s="34"/>
      <c r="O371" s="34"/>
      <c r="P371" s="34"/>
      <c r="Q371" s="28"/>
      <c r="R371" s="49"/>
      <c r="S371" s="1"/>
      <c r="T371" s="95"/>
      <c r="U371" s="45"/>
      <c r="V371" s="34"/>
      <c r="W371" s="50"/>
    </row>
    <row r="372" ht="15.75" customHeight="1">
      <c r="A372" s="28"/>
      <c r="B372" s="28"/>
      <c r="C372" s="45"/>
      <c r="D372" s="45"/>
      <c r="E372" s="50"/>
      <c r="F372" s="28"/>
      <c r="G372" s="28"/>
      <c r="H372" s="28"/>
      <c r="I372" s="49"/>
      <c r="J372" s="49"/>
      <c r="K372" s="80"/>
      <c r="L372" s="106"/>
      <c r="M372" s="34"/>
      <c r="N372" s="34"/>
      <c r="O372" s="34"/>
      <c r="P372" s="34"/>
      <c r="Q372" s="28"/>
      <c r="R372" s="49"/>
      <c r="S372" s="1"/>
      <c r="T372" s="95"/>
      <c r="U372" s="45"/>
      <c r="V372" s="34"/>
      <c r="W372" s="50"/>
    </row>
    <row r="373" ht="15.75" customHeight="1">
      <c r="A373" s="28"/>
      <c r="B373" s="28"/>
      <c r="C373" s="45"/>
      <c r="D373" s="45"/>
      <c r="E373" s="50"/>
      <c r="F373" s="28"/>
      <c r="G373" s="28"/>
      <c r="H373" s="28"/>
      <c r="I373" s="49"/>
      <c r="J373" s="49"/>
      <c r="K373" s="80"/>
      <c r="L373" s="106"/>
      <c r="M373" s="34"/>
      <c r="N373" s="34"/>
      <c r="O373" s="34"/>
      <c r="P373" s="34"/>
      <c r="Q373" s="28"/>
      <c r="R373" s="49"/>
      <c r="S373" s="1"/>
      <c r="T373" s="95"/>
      <c r="U373" s="45"/>
      <c r="V373" s="34"/>
      <c r="W373" s="50"/>
    </row>
    <row r="374" ht="15.75" customHeight="1">
      <c r="A374" s="28"/>
      <c r="B374" s="28"/>
      <c r="C374" s="45"/>
      <c r="D374" s="45"/>
      <c r="E374" s="50"/>
      <c r="F374" s="28"/>
      <c r="G374" s="28"/>
      <c r="H374" s="28"/>
      <c r="I374" s="49"/>
      <c r="J374" s="49"/>
      <c r="K374" s="80"/>
      <c r="L374" s="106"/>
      <c r="M374" s="34"/>
      <c r="N374" s="34"/>
      <c r="O374" s="34"/>
      <c r="P374" s="34"/>
      <c r="Q374" s="28"/>
      <c r="R374" s="49"/>
      <c r="S374" s="1"/>
      <c r="T374" s="95"/>
      <c r="U374" s="45"/>
      <c r="V374" s="34"/>
      <c r="W374" s="50"/>
    </row>
    <row r="375" ht="15.75" customHeight="1">
      <c r="A375" s="28"/>
      <c r="B375" s="28"/>
      <c r="C375" s="45"/>
      <c r="D375" s="45"/>
      <c r="E375" s="50"/>
      <c r="F375" s="28"/>
      <c r="G375" s="28"/>
      <c r="H375" s="28"/>
      <c r="I375" s="49"/>
      <c r="J375" s="49"/>
      <c r="K375" s="80"/>
      <c r="L375" s="106"/>
      <c r="M375" s="34"/>
      <c r="N375" s="34"/>
      <c r="O375" s="34"/>
      <c r="P375" s="34"/>
      <c r="Q375" s="28"/>
      <c r="R375" s="49"/>
      <c r="S375" s="1"/>
      <c r="T375" s="95"/>
      <c r="U375" s="45"/>
      <c r="V375" s="34"/>
      <c r="W375" s="50"/>
    </row>
    <row r="376" ht="15.75" customHeight="1">
      <c r="A376" s="28"/>
      <c r="B376" s="28"/>
      <c r="C376" s="45"/>
      <c r="D376" s="45"/>
      <c r="E376" s="50"/>
      <c r="F376" s="28"/>
      <c r="G376" s="28"/>
      <c r="H376" s="28"/>
      <c r="I376" s="49"/>
      <c r="J376" s="49"/>
      <c r="K376" s="80"/>
      <c r="L376" s="106"/>
      <c r="M376" s="34"/>
      <c r="N376" s="34"/>
      <c r="O376" s="34"/>
      <c r="P376" s="34"/>
      <c r="Q376" s="28"/>
      <c r="R376" s="49"/>
      <c r="S376" s="1"/>
      <c r="T376" s="95"/>
      <c r="U376" s="45"/>
      <c r="V376" s="34"/>
      <c r="W376" s="50"/>
    </row>
    <row r="377" ht="15.75" customHeight="1">
      <c r="A377" s="28"/>
      <c r="B377" s="28"/>
      <c r="C377" s="45"/>
      <c r="D377" s="45"/>
      <c r="E377" s="50"/>
      <c r="F377" s="28"/>
      <c r="G377" s="28"/>
      <c r="H377" s="28"/>
      <c r="I377" s="49"/>
      <c r="J377" s="49"/>
      <c r="K377" s="80"/>
      <c r="L377" s="106"/>
      <c r="M377" s="34"/>
      <c r="N377" s="34"/>
      <c r="O377" s="34"/>
      <c r="P377" s="34"/>
      <c r="Q377" s="28"/>
      <c r="R377" s="49"/>
      <c r="S377" s="1"/>
      <c r="T377" s="95"/>
      <c r="U377" s="45"/>
      <c r="V377" s="34"/>
      <c r="W377" s="50"/>
    </row>
    <row r="378" ht="15.75" customHeight="1">
      <c r="A378" s="28"/>
      <c r="B378" s="28"/>
      <c r="C378" s="45"/>
      <c r="D378" s="45"/>
      <c r="E378" s="50"/>
      <c r="F378" s="28"/>
      <c r="G378" s="28"/>
      <c r="H378" s="28"/>
      <c r="I378" s="49"/>
      <c r="J378" s="49"/>
      <c r="K378" s="80"/>
      <c r="L378" s="106"/>
      <c r="M378" s="34"/>
      <c r="N378" s="34"/>
      <c r="O378" s="34"/>
      <c r="P378" s="34"/>
      <c r="Q378" s="28"/>
      <c r="R378" s="49"/>
      <c r="S378" s="1"/>
      <c r="T378" s="95"/>
      <c r="U378" s="45"/>
      <c r="V378" s="34"/>
      <c r="W378" s="50"/>
    </row>
    <row r="379" ht="15.75" customHeight="1">
      <c r="A379" s="28"/>
      <c r="B379" s="28"/>
      <c r="C379" s="45"/>
      <c r="D379" s="45"/>
      <c r="E379" s="50"/>
      <c r="F379" s="28"/>
      <c r="G379" s="28"/>
      <c r="H379" s="28"/>
      <c r="I379" s="49"/>
      <c r="J379" s="49"/>
      <c r="K379" s="80"/>
      <c r="L379" s="106"/>
      <c r="M379" s="34"/>
      <c r="N379" s="34"/>
      <c r="O379" s="34"/>
      <c r="P379" s="34"/>
      <c r="Q379" s="28"/>
      <c r="R379" s="49"/>
      <c r="S379" s="1"/>
      <c r="T379" s="95"/>
      <c r="U379" s="45"/>
      <c r="V379" s="34"/>
      <c r="W379" s="50"/>
    </row>
    <row r="380" ht="15.75" customHeight="1">
      <c r="A380" s="28"/>
      <c r="B380" s="28"/>
      <c r="C380" s="45"/>
      <c r="D380" s="45"/>
      <c r="E380" s="50"/>
      <c r="F380" s="28"/>
      <c r="G380" s="28"/>
      <c r="H380" s="28"/>
      <c r="I380" s="49"/>
      <c r="J380" s="49"/>
      <c r="K380" s="80"/>
      <c r="L380" s="106"/>
      <c r="M380" s="34"/>
      <c r="N380" s="34"/>
      <c r="O380" s="34"/>
      <c r="P380" s="34"/>
      <c r="Q380" s="28"/>
      <c r="R380" s="49"/>
      <c r="S380" s="1"/>
      <c r="T380" s="95"/>
      <c r="U380" s="45"/>
      <c r="V380" s="34"/>
      <c r="W380" s="50"/>
    </row>
    <row r="381" ht="15.75" customHeight="1">
      <c r="A381" s="28"/>
      <c r="B381" s="28"/>
      <c r="C381" s="45"/>
      <c r="D381" s="45"/>
      <c r="E381" s="50"/>
      <c r="F381" s="28"/>
      <c r="G381" s="28"/>
      <c r="H381" s="28"/>
      <c r="I381" s="49"/>
      <c r="J381" s="49"/>
      <c r="K381" s="80"/>
      <c r="L381" s="106"/>
      <c r="M381" s="34"/>
      <c r="N381" s="34"/>
      <c r="O381" s="34"/>
      <c r="P381" s="34"/>
      <c r="Q381" s="28"/>
      <c r="R381" s="49"/>
      <c r="S381" s="1"/>
      <c r="T381" s="95"/>
      <c r="U381" s="45"/>
      <c r="V381" s="34"/>
      <c r="W381" s="50"/>
    </row>
    <row r="382" ht="15.75" customHeight="1">
      <c r="A382" s="28"/>
      <c r="B382" s="28"/>
      <c r="C382" s="45"/>
      <c r="D382" s="45"/>
      <c r="E382" s="50"/>
      <c r="F382" s="28"/>
      <c r="G382" s="28"/>
      <c r="H382" s="28"/>
      <c r="I382" s="49"/>
      <c r="J382" s="49"/>
      <c r="K382" s="80"/>
      <c r="L382" s="106"/>
      <c r="M382" s="34"/>
      <c r="N382" s="34"/>
      <c r="O382" s="34"/>
      <c r="P382" s="34"/>
      <c r="Q382" s="28"/>
      <c r="R382" s="49"/>
      <c r="S382" s="1"/>
      <c r="T382" s="95"/>
      <c r="U382" s="45"/>
      <c r="V382" s="34"/>
      <c r="W382" s="50"/>
    </row>
    <row r="383" ht="15.75" customHeight="1">
      <c r="A383" s="28"/>
      <c r="B383" s="28"/>
      <c r="C383" s="45"/>
      <c r="D383" s="45"/>
      <c r="E383" s="50"/>
      <c r="F383" s="28"/>
      <c r="G383" s="28"/>
      <c r="H383" s="28"/>
      <c r="I383" s="49"/>
      <c r="J383" s="49"/>
      <c r="K383" s="80"/>
      <c r="L383" s="106"/>
      <c r="M383" s="34"/>
      <c r="N383" s="34"/>
      <c r="O383" s="34"/>
      <c r="P383" s="34"/>
      <c r="Q383" s="28"/>
      <c r="R383" s="49"/>
      <c r="S383" s="1"/>
      <c r="T383" s="95"/>
      <c r="U383" s="45"/>
      <c r="V383" s="34"/>
      <c r="W383" s="50"/>
    </row>
    <row r="384" ht="15.75" customHeight="1">
      <c r="A384" s="28"/>
      <c r="B384" s="28"/>
      <c r="C384" s="45"/>
      <c r="D384" s="45"/>
      <c r="E384" s="50"/>
      <c r="F384" s="28"/>
      <c r="G384" s="28"/>
      <c r="H384" s="28"/>
      <c r="I384" s="49"/>
      <c r="J384" s="49"/>
      <c r="K384" s="80"/>
      <c r="L384" s="106"/>
      <c r="M384" s="34"/>
      <c r="N384" s="34"/>
      <c r="O384" s="34"/>
      <c r="P384" s="34"/>
      <c r="Q384" s="28"/>
      <c r="R384" s="49"/>
      <c r="S384" s="1"/>
      <c r="T384" s="95"/>
      <c r="U384" s="45"/>
      <c r="V384" s="34"/>
      <c r="W384" s="50"/>
    </row>
    <row r="385" ht="15.75" customHeight="1">
      <c r="A385" s="28"/>
      <c r="B385" s="28"/>
      <c r="C385" s="45"/>
      <c r="D385" s="45"/>
      <c r="E385" s="50"/>
      <c r="F385" s="28"/>
      <c r="G385" s="28"/>
      <c r="H385" s="28"/>
      <c r="I385" s="49"/>
      <c r="J385" s="49"/>
      <c r="K385" s="80"/>
      <c r="L385" s="106"/>
      <c r="M385" s="34"/>
      <c r="N385" s="34"/>
      <c r="O385" s="34"/>
      <c r="P385" s="34"/>
      <c r="Q385" s="28"/>
      <c r="R385" s="49"/>
      <c r="S385" s="1"/>
      <c r="T385" s="95"/>
      <c r="U385" s="45"/>
      <c r="V385" s="34"/>
      <c r="W385" s="50"/>
    </row>
    <row r="386" ht="15.75" customHeight="1">
      <c r="A386" s="28"/>
      <c r="B386" s="28"/>
      <c r="C386" s="45"/>
      <c r="D386" s="45"/>
      <c r="E386" s="50"/>
      <c r="F386" s="28"/>
      <c r="G386" s="28"/>
      <c r="H386" s="28"/>
      <c r="I386" s="49"/>
      <c r="J386" s="49"/>
      <c r="K386" s="80"/>
      <c r="L386" s="106"/>
      <c r="M386" s="34"/>
      <c r="N386" s="34"/>
      <c r="O386" s="34"/>
      <c r="P386" s="34"/>
      <c r="Q386" s="28"/>
      <c r="R386" s="49"/>
      <c r="S386" s="1"/>
      <c r="T386" s="95"/>
      <c r="U386" s="45"/>
      <c r="V386" s="34"/>
      <c r="W386" s="50"/>
    </row>
    <row r="387" ht="15.75" customHeight="1">
      <c r="A387" s="28"/>
      <c r="B387" s="28"/>
      <c r="C387" s="45"/>
      <c r="D387" s="45"/>
      <c r="E387" s="50"/>
      <c r="F387" s="28"/>
      <c r="G387" s="28"/>
      <c r="H387" s="28"/>
      <c r="I387" s="49"/>
      <c r="J387" s="49"/>
      <c r="K387" s="80"/>
      <c r="L387" s="106"/>
      <c r="M387" s="34"/>
      <c r="N387" s="34"/>
      <c r="O387" s="34"/>
      <c r="P387" s="34"/>
      <c r="Q387" s="28"/>
      <c r="R387" s="49"/>
      <c r="S387" s="1"/>
      <c r="T387" s="95"/>
      <c r="U387" s="45"/>
      <c r="V387" s="34"/>
      <c r="W387" s="50"/>
    </row>
    <row r="388" ht="15.75" customHeight="1">
      <c r="A388" s="28"/>
      <c r="B388" s="28"/>
      <c r="C388" s="45"/>
      <c r="D388" s="45"/>
      <c r="E388" s="50"/>
      <c r="F388" s="28"/>
      <c r="G388" s="28"/>
      <c r="H388" s="28"/>
      <c r="I388" s="49"/>
      <c r="J388" s="49"/>
      <c r="K388" s="80"/>
      <c r="L388" s="106"/>
      <c r="M388" s="34"/>
      <c r="N388" s="34"/>
      <c r="O388" s="34"/>
      <c r="P388" s="34"/>
      <c r="Q388" s="28"/>
      <c r="R388" s="49"/>
      <c r="S388" s="1"/>
      <c r="T388" s="95"/>
      <c r="U388" s="45"/>
      <c r="V388" s="34"/>
      <c r="W388" s="50"/>
    </row>
    <row r="389" ht="15.75" customHeight="1">
      <c r="A389" s="28"/>
      <c r="B389" s="28"/>
      <c r="C389" s="45"/>
      <c r="D389" s="45"/>
      <c r="E389" s="50"/>
      <c r="F389" s="28"/>
      <c r="G389" s="28"/>
      <c r="H389" s="28"/>
      <c r="I389" s="49"/>
      <c r="J389" s="49"/>
      <c r="K389" s="80"/>
      <c r="L389" s="106"/>
      <c r="M389" s="34"/>
      <c r="N389" s="34"/>
      <c r="O389" s="34"/>
      <c r="P389" s="34"/>
      <c r="Q389" s="28"/>
      <c r="R389" s="49"/>
      <c r="S389" s="1"/>
      <c r="T389" s="95"/>
      <c r="U389" s="45"/>
      <c r="V389" s="34"/>
      <c r="W389" s="50"/>
    </row>
    <row r="390" ht="15.75" customHeight="1">
      <c r="A390" s="28"/>
      <c r="B390" s="28"/>
      <c r="C390" s="45"/>
      <c r="D390" s="45"/>
      <c r="E390" s="50"/>
      <c r="F390" s="28"/>
      <c r="G390" s="28"/>
      <c r="H390" s="28"/>
      <c r="I390" s="49"/>
      <c r="J390" s="49"/>
      <c r="K390" s="80"/>
      <c r="L390" s="106"/>
      <c r="M390" s="34"/>
      <c r="N390" s="34"/>
      <c r="O390" s="34"/>
      <c r="P390" s="34"/>
      <c r="Q390" s="28"/>
      <c r="R390" s="49"/>
      <c r="S390" s="1"/>
      <c r="T390" s="95"/>
      <c r="U390" s="45"/>
      <c r="V390" s="34"/>
      <c r="W390" s="50"/>
    </row>
    <row r="391" ht="15.75" customHeight="1">
      <c r="A391" s="28"/>
      <c r="B391" s="28"/>
      <c r="C391" s="45"/>
      <c r="D391" s="45"/>
      <c r="E391" s="50"/>
      <c r="F391" s="28"/>
      <c r="G391" s="28"/>
      <c r="H391" s="28"/>
      <c r="I391" s="49"/>
      <c r="J391" s="49"/>
      <c r="K391" s="80"/>
      <c r="L391" s="106"/>
      <c r="M391" s="34"/>
      <c r="N391" s="34"/>
      <c r="O391" s="34"/>
      <c r="P391" s="34"/>
      <c r="Q391" s="28"/>
      <c r="R391" s="49"/>
      <c r="S391" s="1"/>
      <c r="T391" s="95"/>
      <c r="U391" s="45"/>
      <c r="V391" s="34"/>
      <c r="W391" s="50"/>
    </row>
    <row r="392" ht="15.75" customHeight="1">
      <c r="A392" s="28"/>
      <c r="B392" s="28"/>
      <c r="C392" s="45"/>
      <c r="D392" s="45"/>
      <c r="E392" s="50"/>
      <c r="F392" s="28"/>
      <c r="G392" s="28"/>
      <c r="H392" s="28"/>
      <c r="I392" s="49"/>
      <c r="J392" s="49"/>
      <c r="K392" s="80"/>
      <c r="L392" s="106"/>
      <c r="M392" s="34"/>
      <c r="N392" s="34"/>
      <c r="O392" s="34"/>
      <c r="P392" s="34"/>
      <c r="Q392" s="28"/>
      <c r="R392" s="49"/>
      <c r="S392" s="1"/>
      <c r="T392" s="95"/>
      <c r="U392" s="45"/>
      <c r="V392" s="34"/>
      <c r="W392" s="50"/>
    </row>
    <row r="393" ht="15.75" customHeight="1">
      <c r="A393" s="28"/>
      <c r="B393" s="28"/>
      <c r="C393" s="45"/>
      <c r="D393" s="45"/>
      <c r="E393" s="50"/>
      <c r="F393" s="28"/>
      <c r="G393" s="28"/>
      <c r="H393" s="28"/>
      <c r="I393" s="49"/>
      <c r="J393" s="49"/>
      <c r="K393" s="80"/>
      <c r="L393" s="106"/>
      <c r="M393" s="34"/>
      <c r="N393" s="34"/>
      <c r="O393" s="34"/>
      <c r="P393" s="34"/>
      <c r="Q393" s="28"/>
      <c r="R393" s="49"/>
      <c r="S393" s="1"/>
      <c r="T393" s="95"/>
      <c r="U393" s="45"/>
      <c r="V393" s="34"/>
      <c r="W393" s="50"/>
    </row>
    <row r="394" ht="15.75" customHeight="1">
      <c r="A394" s="28"/>
      <c r="B394" s="28"/>
      <c r="C394" s="45"/>
      <c r="D394" s="45"/>
      <c r="E394" s="50"/>
      <c r="F394" s="28"/>
      <c r="G394" s="28"/>
      <c r="H394" s="28"/>
      <c r="I394" s="49"/>
      <c r="J394" s="49"/>
      <c r="K394" s="80"/>
      <c r="L394" s="106"/>
      <c r="M394" s="34"/>
      <c r="N394" s="34"/>
      <c r="O394" s="34"/>
      <c r="P394" s="34"/>
      <c r="Q394" s="28"/>
      <c r="R394" s="49"/>
      <c r="S394" s="1"/>
      <c r="T394" s="95"/>
      <c r="U394" s="45"/>
      <c r="V394" s="34"/>
      <c r="W394" s="50"/>
    </row>
    <row r="395" ht="15.75" customHeight="1">
      <c r="A395" s="28"/>
      <c r="B395" s="28"/>
      <c r="C395" s="45"/>
      <c r="D395" s="45"/>
      <c r="E395" s="50"/>
      <c r="F395" s="28"/>
      <c r="G395" s="28"/>
      <c r="H395" s="28"/>
      <c r="I395" s="49"/>
      <c r="J395" s="49"/>
      <c r="K395" s="80"/>
      <c r="L395" s="106"/>
      <c r="M395" s="34"/>
      <c r="N395" s="34"/>
      <c r="O395" s="34"/>
      <c r="P395" s="34"/>
      <c r="Q395" s="28"/>
      <c r="R395" s="49"/>
      <c r="S395" s="1"/>
      <c r="T395" s="95"/>
      <c r="U395" s="45"/>
      <c r="V395" s="34"/>
      <c r="W395" s="50"/>
    </row>
    <row r="396" ht="15.75" customHeight="1">
      <c r="A396" s="28"/>
      <c r="B396" s="28"/>
      <c r="C396" s="45"/>
      <c r="D396" s="45"/>
      <c r="E396" s="50"/>
      <c r="F396" s="28"/>
      <c r="G396" s="28"/>
      <c r="H396" s="28"/>
      <c r="I396" s="49"/>
      <c r="J396" s="49"/>
      <c r="K396" s="80"/>
      <c r="L396" s="106"/>
      <c r="M396" s="34"/>
      <c r="N396" s="34"/>
      <c r="O396" s="34"/>
      <c r="P396" s="34"/>
      <c r="Q396" s="28"/>
      <c r="R396" s="49"/>
      <c r="S396" s="1"/>
      <c r="T396" s="95"/>
      <c r="U396" s="45"/>
      <c r="V396" s="34"/>
      <c r="W396" s="50"/>
    </row>
    <row r="397" ht="15.75" customHeight="1">
      <c r="A397" s="28"/>
      <c r="B397" s="28"/>
      <c r="C397" s="45"/>
      <c r="D397" s="45"/>
      <c r="E397" s="50"/>
      <c r="F397" s="28"/>
      <c r="G397" s="28"/>
      <c r="H397" s="28"/>
      <c r="I397" s="49"/>
      <c r="J397" s="49"/>
      <c r="K397" s="80"/>
      <c r="L397" s="106"/>
      <c r="M397" s="34"/>
      <c r="N397" s="34"/>
      <c r="O397" s="34"/>
      <c r="P397" s="34"/>
      <c r="Q397" s="28"/>
      <c r="R397" s="49"/>
      <c r="S397" s="1"/>
      <c r="T397" s="95"/>
      <c r="U397" s="45"/>
      <c r="V397" s="34"/>
      <c r="W397" s="50"/>
    </row>
    <row r="398" ht="15.75" customHeight="1">
      <c r="A398" s="28"/>
      <c r="B398" s="28"/>
      <c r="C398" s="45"/>
      <c r="D398" s="45"/>
      <c r="E398" s="50"/>
      <c r="F398" s="28"/>
      <c r="G398" s="28"/>
      <c r="H398" s="28"/>
      <c r="I398" s="49"/>
      <c r="J398" s="49"/>
      <c r="K398" s="80"/>
      <c r="L398" s="106"/>
      <c r="M398" s="34"/>
      <c r="N398" s="34"/>
      <c r="O398" s="34"/>
      <c r="P398" s="34"/>
      <c r="Q398" s="28"/>
      <c r="R398" s="49"/>
      <c r="S398" s="1"/>
      <c r="T398" s="95"/>
      <c r="U398" s="45"/>
      <c r="V398" s="34"/>
      <c r="W398" s="50"/>
    </row>
    <row r="399" ht="15.75" customHeight="1">
      <c r="A399" s="28"/>
      <c r="B399" s="28"/>
      <c r="C399" s="45"/>
      <c r="D399" s="45"/>
      <c r="E399" s="50"/>
      <c r="F399" s="28"/>
      <c r="G399" s="28"/>
      <c r="H399" s="28"/>
      <c r="I399" s="49"/>
      <c r="J399" s="49"/>
      <c r="K399" s="80"/>
      <c r="L399" s="106"/>
      <c r="M399" s="34"/>
      <c r="N399" s="34"/>
      <c r="O399" s="34"/>
      <c r="P399" s="34"/>
      <c r="Q399" s="28"/>
      <c r="R399" s="49"/>
      <c r="S399" s="1"/>
      <c r="T399" s="95"/>
      <c r="U399" s="45"/>
      <c r="V399" s="34"/>
      <c r="W399" s="50"/>
    </row>
    <row r="400" ht="15.75" customHeight="1">
      <c r="A400" s="28"/>
      <c r="B400" s="28"/>
      <c r="C400" s="45"/>
      <c r="D400" s="45"/>
      <c r="E400" s="50"/>
      <c r="F400" s="28"/>
      <c r="G400" s="28"/>
      <c r="H400" s="28"/>
      <c r="I400" s="49"/>
      <c r="J400" s="49"/>
      <c r="K400" s="80"/>
      <c r="L400" s="106"/>
      <c r="M400" s="34"/>
      <c r="N400" s="34"/>
      <c r="O400" s="34"/>
      <c r="P400" s="34"/>
      <c r="Q400" s="28"/>
      <c r="R400" s="49"/>
      <c r="S400" s="1"/>
      <c r="T400" s="95"/>
      <c r="U400" s="45"/>
      <c r="V400" s="34"/>
      <c r="W400" s="50"/>
    </row>
    <row r="401" ht="15.75" customHeight="1">
      <c r="A401" s="28"/>
      <c r="B401" s="28"/>
      <c r="C401" s="45"/>
      <c r="D401" s="45"/>
      <c r="E401" s="50"/>
      <c r="F401" s="28"/>
      <c r="G401" s="28"/>
      <c r="H401" s="28"/>
      <c r="I401" s="49"/>
      <c r="J401" s="49"/>
      <c r="K401" s="80"/>
      <c r="L401" s="106"/>
      <c r="M401" s="34"/>
      <c r="N401" s="34"/>
      <c r="O401" s="34"/>
      <c r="P401" s="34"/>
      <c r="Q401" s="28"/>
      <c r="R401" s="49"/>
      <c r="S401" s="1"/>
      <c r="T401" s="95"/>
      <c r="U401" s="45"/>
      <c r="V401" s="34"/>
      <c r="W401" s="50"/>
    </row>
    <row r="402" ht="15.75" customHeight="1">
      <c r="A402" s="28"/>
      <c r="B402" s="28"/>
      <c r="C402" s="45"/>
      <c r="D402" s="45"/>
      <c r="E402" s="50"/>
      <c r="F402" s="28"/>
      <c r="G402" s="28"/>
      <c r="H402" s="28"/>
      <c r="I402" s="49"/>
      <c r="J402" s="49"/>
      <c r="K402" s="80"/>
      <c r="L402" s="106"/>
      <c r="M402" s="34"/>
      <c r="N402" s="34"/>
      <c r="O402" s="34"/>
      <c r="P402" s="34"/>
      <c r="Q402" s="28"/>
      <c r="R402" s="49"/>
      <c r="S402" s="1"/>
      <c r="T402" s="95"/>
      <c r="U402" s="45"/>
      <c r="V402" s="34"/>
      <c r="W402" s="50"/>
    </row>
    <row r="403" ht="15.75" customHeight="1">
      <c r="A403" s="28"/>
      <c r="B403" s="28"/>
      <c r="C403" s="45"/>
      <c r="D403" s="45"/>
      <c r="E403" s="50"/>
      <c r="F403" s="28"/>
      <c r="G403" s="28"/>
      <c r="H403" s="28"/>
      <c r="I403" s="49"/>
      <c r="J403" s="49"/>
      <c r="K403" s="80"/>
      <c r="L403" s="106"/>
      <c r="M403" s="34"/>
      <c r="N403" s="34"/>
      <c r="O403" s="34"/>
      <c r="P403" s="34"/>
      <c r="Q403" s="28"/>
      <c r="R403" s="49"/>
      <c r="S403" s="1"/>
      <c r="T403" s="95"/>
      <c r="U403" s="45"/>
      <c r="V403" s="34"/>
      <c r="W403" s="50"/>
    </row>
    <row r="404" ht="15.75" customHeight="1">
      <c r="A404" s="28"/>
      <c r="B404" s="28"/>
      <c r="C404" s="45"/>
      <c r="D404" s="45"/>
      <c r="E404" s="50"/>
      <c r="F404" s="28"/>
      <c r="G404" s="28"/>
      <c r="H404" s="28"/>
      <c r="I404" s="49"/>
      <c r="J404" s="49"/>
      <c r="K404" s="80"/>
      <c r="L404" s="106"/>
      <c r="M404" s="34"/>
      <c r="N404" s="34"/>
      <c r="O404" s="34"/>
      <c r="P404" s="34"/>
      <c r="Q404" s="28"/>
      <c r="R404" s="49"/>
      <c r="S404" s="1"/>
      <c r="T404" s="95"/>
      <c r="U404" s="45"/>
      <c r="V404" s="34"/>
      <c r="W404" s="50"/>
    </row>
    <row r="405" ht="15.75" customHeight="1">
      <c r="A405" s="28"/>
      <c r="B405" s="28"/>
      <c r="C405" s="45"/>
      <c r="D405" s="45"/>
      <c r="E405" s="50"/>
      <c r="F405" s="28"/>
      <c r="G405" s="28"/>
      <c r="H405" s="28"/>
      <c r="I405" s="49"/>
      <c r="J405" s="49"/>
      <c r="K405" s="80"/>
      <c r="L405" s="106"/>
      <c r="M405" s="34"/>
      <c r="N405" s="34"/>
      <c r="O405" s="34"/>
      <c r="P405" s="34"/>
      <c r="Q405" s="28"/>
      <c r="R405" s="49"/>
      <c r="S405" s="1"/>
      <c r="T405" s="95"/>
      <c r="U405" s="45"/>
      <c r="V405" s="34"/>
      <c r="W405" s="50"/>
    </row>
    <row r="406" ht="15.75" customHeight="1">
      <c r="A406" s="28"/>
      <c r="B406" s="28"/>
      <c r="C406" s="45"/>
      <c r="D406" s="45"/>
      <c r="E406" s="50"/>
      <c r="F406" s="28"/>
      <c r="G406" s="28"/>
      <c r="H406" s="28"/>
      <c r="I406" s="49"/>
      <c r="J406" s="49"/>
      <c r="K406" s="80"/>
      <c r="L406" s="106"/>
      <c r="M406" s="34"/>
      <c r="N406" s="34"/>
      <c r="O406" s="34"/>
      <c r="P406" s="34"/>
      <c r="Q406" s="28"/>
      <c r="R406" s="49"/>
      <c r="S406" s="1"/>
      <c r="T406" s="95"/>
      <c r="U406" s="45"/>
      <c r="V406" s="34"/>
      <c r="W406" s="50"/>
    </row>
    <row r="407" ht="15.75" customHeight="1">
      <c r="A407" s="28"/>
      <c r="B407" s="28"/>
      <c r="C407" s="45"/>
      <c r="D407" s="45"/>
      <c r="E407" s="50"/>
      <c r="F407" s="28"/>
      <c r="G407" s="28"/>
      <c r="H407" s="28"/>
      <c r="I407" s="49"/>
      <c r="J407" s="49"/>
      <c r="K407" s="80"/>
      <c r="L407" s="106"/>
      <c r="M407" s="34"/>
      <c r="N407" s="34"/>
      <c r="O407" s="34"/>
      <c r="P407" s="34"/>
      <c r="Q407" s="28"/>
      <c r="R407" s="49"/>
      <c r="S407" s="1"/>
      <c r="T407" s="95"/>
      <c r="U407" s="45"/>
      <c r="V407" s="34"/>
      <c r="W407" s="50"/>
    </row>
    <row r="408" ht="15.75" customHeight="1">
      <c r="A408" s="28"/>
      <c r="B408" s="28"/>
      <c r="C408" s="45"/>
      <c r="D408" s="45"/>
      <c r="E408" s="50"/>
      <c r="F408" s="28"/>
      <c r="G408" s="28"/>
      <c r="H408" s="28"/>
      <c r="I408" s="49"/>
      <c r="J408" s="49"/>
      <c r="K408" s="80"/>
      <c r="L408" s="106"/>
      <c r="M408" s="34"/>
      <c r="N408" s="34"/>
      <c r="O408" s="34"/>
      <c r="P408" s="34"/>
      <c r="Q408" s="28"/>
      <c r="R408" s="49"/>
      <c r="S408" s="1"/>
      <c r="T408" s="95"/>
      <c r="U408" s="45"/>
      <c r="V408" s="34"/>
      <c r="W408" s="50"/>
    </row>
    <row r="409" ht="15.75" customHeight="1">
      <c r="A409" s="28"/>
      <c r="B409" s="28"/>
      <c r="C409" s="45"/>
      <c r="D409" s="45"/>
      <c r="E409" s="50"/>
      <c r="F409" s="28"/>
      <c r="G409" s="28"/>
      <c r="H409" s="28"/>
      <c r="I409" s="49"/>
      <c r="J409" s="49"/>
      <c r="K409" s="80"/>
      <c r="L409" s="106"/>
      <c r="M409" s="34"/>
      <c r="N409" s="34"/>
      <c r="O409" s="34"/>
      <c r="P409" s="34"/>
      <c r="Q409" s="28"/>
      <c r="R409" s="49"/>
      <c r="S409" s="1"/>
      <c r="T409" s="95"/>
      <c r="U409" s="45"/>
      <c r="V409" s="34"/>
      <c r="W409" s="50"/>
    </row>
    <row r="410" ht="15.75" customHeight="1">
      <c r="A410" s="28"/>
      <c r="B410" s="28"/>
      <c r="C410" s="45"/>
      <c r="D410" s="45"/>
      <c r="E410" s="50"/>
      <c r="F410" s="28"/>
      <c r="G410" s="28"/>
      <c r="H410" s="28"/>
      <c r="I410" s="49"/>
      <c r="J410" s="49"/>
      <c r="K410" s="80"/>
      <c r="L410" s="106"/>
      <c r="M410" s="34"/>
      <c r="N410" s="34"/>
      <c r="O410" s="34"/>
      <c r="P410" s="34"/>
      <c r="Q410" s="28"/>
      <c r="R410" s="49"/>
      <c r="S410" s="1"/>
      <c r="T410" s="95"/>
      <c r="U410" s="45"/>
      <c r="V410" s="34"/>
      <c r="W410" s="50"/>
    </row>
    <row r="411" ht="15.75" customHeight="1">
      <c r="A411" s="28"/>
      <c r="B411" s="28"/>
      <c r="C411" s="45"/>
      <c r="D411" s="45"/>
      <c r="E411" s="50"/>
      <c r="F411" s="28"/>
      <c r="G411" s="28"/>
      <c r="H411" s="28"/>
      <c r="I411" s="49"/>
      <c r="J411" s="49"/>
      <c r="K411" s="80"/>
      <c r="L411" s="106"/>
      <c r="M411" s="34"/>
      <c r="N411" s="34"/>
      <c r="O411" s="34"/>
      <c r="P411" s="34"/>
      <c r="Q411" s="28"/>
      <c r="R411" s="49"/>
      <c r="S411" s="1"/>
      <c r="T411" s="95"/>
      <c r="U411" s="45"/>
      <c r="V411" s="34"/>
      <c r="W411" s="50"/>
    </row>
    <row r="412" ht="15.75" customHeight="1">
      <c r="A412" s="28"/>
      <c r="B412" s="28"/>
      <c r="C412" s="45"/>
      <c r="D412" s="45"/>
      <c r="E412" s="50"/>
      <c r="F412" s="28"/>
      <c r="G412" s="28"/>
      <c r="H412" s="28"/>
      <c r="I412" s="49"/>
      <c r="J412" s="49"/>
      <c r="K412" s="80"/>
      <c r="L412" s="106"/>
      <c r="M412" s="34"/>
      <c r="N412" s="34"/>
      <c r="O412" s="34"/>
      <c r="P412" s="34"/>
      <c r="Q412" s="28"/>
      <c r="R412" s="49"/>
      <c r="S412" s="1"/>
      <c r="T412" s="95"/>
      <c r="U412" s="45"/>
      <c r="V412" s="34"/>
      <c r="W412" s="50"/>
    </row>
    <row r="413" ht="15.75" customHeight="1">
      <c r="A413" s="28"/>
      <c r="B413" s="28"/>
      <c r="C413" s="45"/>
      <c r="D413" s="45"/>
      <c r="E413" s="50"/>
      <c r="F413" s="28"/>
      <c r="G413" s="28"/>
      <c r="H413" s="28"/>
      <c r="I413" s="49"/>
      <c r="J413" s="49"/>
      <c r="K413" s="80"/>
      <c r="L413" s="106"/>
      <c r="M413" s="34"/>
      <c r="N413" s="34"/>
      <c r="O413" s="34"/>
      <c r="P413" s="34"/>
      <c r="Q413" s="28"/>
      <c r="R413" s="49"/>
      <c r="S413" s="1"/>
      <c r="T413" s="95"/>
      <c r="U413" s="45"/>
      <c r="V413" s="34"/>
      <c r="W413" s="50"/>
    </row>
    <row r="414" ht="15.75" customHeight="1">
      <c r="A414" s="28"/>
      <c r="B414" s="28"/>
      <c r="C414" s="45"/>
      <c r="D414" s="45"/>
      <c r="E414" s="50"/>
      <c r="F414" s="28"/>
      <c r="G414" s="28"/>
      <c r="H414" s="28"/>
      <c r="I414" s="49"/>
      <c r="J414" s="49"/>
      <c r="K414" s="80"/>
      <c r="L414" s="106"/>
      <c r="M414" s="34"/>
      <c r="N414" s="34"/>
      <c r="O414" s="34"/>
      <c r="P414" s="34"/>
      <c r="Q414" s="28"/>
      <c r="R414" s="49"/>
      <c r="S414" s="1"/>
      <c r="T414" s="95"/>
      <c r="U414" s="45"/>
      <c r="V414" s="34"/>
      <c r="W414" s="50"/>
    </row>
    <row r="415" ht="15.75" customHeight="1">
      <c r="A415" s="28"/>
      <c r="B415" s="28"/>
      <c r="C415" s="45"/>
      <c r="D415" s="45"/>
      <c r="E415" s="50"/>
      <c r="F415" s="28"/>
      <c r="G415" s="28"/>
      <c r="H415" s="28"/>
      <c r="I415" s="49"/>
      <c r="J415" s="49"/>
      <c r="K415" s="80"/>
      <c r="L415" s="106"/>
      <c r="M415" s="34"/>
      <c r="N415" s="34"/>
      <c r="O415" s="34"/>
      <c r="P415" s="34"/>
      <c r="Q415" s="28"/>
      <c r="R415" s="49"/>
      <c r="S415" s="1"/>
      <c r="T415" s="95"/>
      <c r="U415" s="45"/>
      <c r="V415" s="34"/>
      <c r="W415" s="50"/>
    </row>
    <row r="416" ht="15.75" customHeight="1">
      <c r="A416" s="28"/>
      <c r="B416" s="28"/>
      <c r="C416" s="45"/>
      <c r="D416" s="45"/>
      <c r="E416" s="50"/>
      <c r="F416" s="28"/>
      <c r="G416" s="28"/>
      <c r="H416" s="28"/>
      <c r="I416" s="49"/>
      <c r="J416" s="49"/>
      <c r="K416" s="80"/>
      <c r="L416" s="106"/>
      <c r="M416" s="34"/>
      <c r="N416" s="34"/>
      <c r="O416" s="34"/>
      <c r="P416" s="34"/>
      <c r="Q416" s="28"/>
      <c r="R416" s="49"/>
      <c r="S416" s="1"/>
      <c r="T416" s="95"/>
      <c r="U416" s="45"/>
      <c r="V416" s="34"/>
      <c r="W416" s="50"/>
    </row>
    <row r="417" ht="15.75" customHeight="1">
      <c r="A417" s="28"/>
      <c r="B417" s="28"/>
      <c r="C417" s="45"/>
      <c r="D417" s="45"/>
      <c r="E417" s="50"/>
      <c r="F417" s="28"/>
      <c r="G417" s="28"/>
      <c r="H417" s="28"/>
      <c r="I417" s="49"/>
      <c r="J417" s="49"/>
      <c r="K417" s="80"/>
      <c r="L417" s="106"/>
      <c r="M417" s="34"/>
      <c r="N417" s="34"/>
      <c r="O417" s="34"/>
      <c r="P417" s="34"/>
      <c r="Q417" s="28"/>
      <c r="R417" s="49"/>
      <c r="S417" s="1"/>
      <c r="T417" s="95"/>
      <c r="U417" s="45"/>
      <c r="V417" s="34"/>
      <c r="W417" s="50"/>
    </row>
    <row r="418" ht="15.75" customHeight="1">
      <c r="A418" s="28"/>
      <c r="B418" s="28"/>
      <c r="C418" s="45"/>
      <c r="D418" s="45"/>
      <c r="E418" s="50"/>
      <c r="F418" s="28"/>
      <c r="G418" s="28"/>
      <c r="H418" s="28"/>
      <c r="I418" s="49"/>
      <c r="J418" s="49"/>
      <c r="K418" s="80"/>
      <c r="L418" s="106"/>
      <c r="M418" s="34"/>
      <c r="N418" s="34"/>
      <c r="O418" s="34"/>
      <c r="P418" s="34"/>
      <c r="Q418" s="28"/>
      <c r="R418" s="49"/>
      <c r="S418" s="1"/>
      <c r="T418" s="95"/>
      <c r="U418" s="45"/>
      <c r="V418" s="34"/>
      <c r="W418" s="50"/>
    </row>
    <row r="419" ht="15.75" customHeight="1">
      <c r="A419" s="28"/>
      <c r="B419" s="28"/>
      <c r="C419" s="45"/>
      <c r="D419" s="45"/>
      <c r="E419" s="50"/>
      <c r="F419" s="28"/>
      <c r="G419" s="28"/>
      <c r="H419" s="28"/>
      <c r="I419" s="49"/>
      <c r="J419" s="49"/>
      <c r="K419" s="80"/>
      <c r="L419" s="106"/>
      <c r="M419" s="34"/>
      <c r="N419" s="34"/>
      <c r="O419" s="34"/>
      <c r="P419" s="34"/>
      <c r="Q419" s="28"/>
      <c r="R419" s="49"/>
      <c r="S419" s="1"/>
      <c r="T419" s="95"/>
      <c r="U419" s="45"/>
      <c r="V419" s="34"/>
      <c r="W419" s="50"/>
    </row>
    <row r="420" ht="15.75" customHeight="1">
      <c r="A420" s="28"/>
      <c r="B420" s="28"/>
      <c r="C420" s="45"/>
      <c r="D420" s="45"/>
      <c r="E420" s="50"/>
      <c r="F420" s="28"/>
      <c r="G420" s="28"/>
      <c r="H420" s="28"/>
      <c r="I420" s="49"/>
      <c r="J420" s="49"/>
      <c r="K420" s="80"/>
      <c r="L420" s="106"/>
      <c r="M420" s="34"/>
      <c r="N420" s="34"/>
      <c r="O420" s="34"/>
      <c r="P420" s="34"/>
      <c r="Q420" s="28"/>
      <c r="R420" s="49"/>
      <c r="S420" s="1"/>
      <c r="T420" s="95"/>
      <c r="U420" s="45"/>
      <c r="V420" s="34"/>
      <c r="W420" s="50"/>
    </row>
    <row r="421" ht="15.75" customHeight="1">
      <c r="I421" s="123"/>
      <c r="L421" s="123"/>
      <c r="P421" s="123"/>
      <c r="R421" s="123"/>
    </row>
    <row r="422" ht="15.75" customHeight="1">
      <c r="I422" s="123"/>
      <c r="L422" s="123"/>
      <c r="P422" s="123"/>
      <c r="R422" s="123"/>
    </row>
    <row r="423" ht="15.75" customHeight="1">
      <c r="I423" s="123"/>
      <c r="L423" s="123"/>
      <c r="P423" s="123"/>
      <c r="R423" s="123"/>
    </row>
    <row r="424" ht="15.75" customHeight="1">
      <c r="I424" s="123"/>
      <c r="L424" s="123"/>
      <c r="P424" s="123"/>
      <c r="R424" s="123"/>
    </row>
    <row r="425" ht="15.75" customHeight="1">
      <c r="I425" s="123"/>
      <c r="L425" s="123"/>
      <c r="P425" s="123"/>
      <c r="R425" s="123"/>
    </row>
    <row r="426" ht="15.75" customHeight="1">
      <c r="I426" s="123"/>
      <c r="L426" s="123"/>
      <c r="P426" s="123"/>
      <c r="R426" s="123"/>
    </row>
    <row r="427" ht="15.75" customHeight="1">
      <c r="I427" s="123"/>
      <c r="L427" s="123"/>
      <c r="P427" s="123"/>
      <c r="R427" s="123"/>
    </row>
    <row r="428" ht="15.75" customHeight="1">
      <c r="I428" s="123"/>
      <c r="L428" s="123"/>
      <c r="P428" s="123"/>
      <c r="R428" s="123"/>
    </row>
    <row r="429" ht="15.75" customHeight="1">
      <c r="I429" s="123"/>
      <c r="L429" s="123"/>
      <c r="P429" s="123"/>
      <c r="R429" s="123"/>
    </row>
    <row r="430" ht="15.75" customHeight="1">
      <c r="I430" s="123"/>
      <c r="L430" s="123"/>
      <c r="P430" s="123"/>
      <c r="R430" s="123"/>
    </row>
    <row r="431" ht="15.75" customHeight="1">
      <c r="I431" s="123"/>
      <c r="L431" s="123"/>
      <c r="P431" s="123"/>
      <c r="R431" s="123"/>
    </row>
    <row r="432" ht="15.75" customHeight="1">
      <c r="I432" s="123"/>
      <c r="L432" s="123"/>
      <c r="P432" s="123"/>
      <c r="R432" s="123"/>
    </row>
    <row r="433" ht="15.75" customHeight="1">
      <c r="I433" s="123"/>
      <c r="L433" s="123"/>
      <c r="P433" s="123"/>
      <c r="R433" s="123"/>
    </row>
    <row r="434" ht="15.75" customHeight="1">
      <c r="I434" s="123"/>
      <c r="L434" s="123"/>
      <c r="P434" s="123"/>
      <c r="R434" s="123"/>
    </row>
    <row r="435" ht="15.75" customHeight="1">
      <c r="I435" s="123"/>
      <c r="L435" s="123"/>
      <c r="P435" s="123"/>
      <c r="R435" s="123"/>
    </row>
    <row r="436" ht="15.75" customHeight="1">
      <c r="I436" s="123"/>
      <c r="L436" s="123"/>
      <c r="P436" s="123"/>
      <c r="R436" s="123"/>
    </row>
    <row r="437" ht="15.75" customHeight="1">
      <c r="I437" s="123"/>
      <c r="L437" s="123"/>
      <c r="P437" s="123"/>
      <c r="R437" s="123"/>
    </row>
    <row r="438" ht="15.75" customHeight="1">
      <c r="I438" s="123"/>
      <c r="L438" s="123"/>
      <c r="P438" s="123"/>
      <c r="R438" s="123"/>
    </row>
    <row r="439" ht="15.75" customHeight="1">
      <c r="I439" s="123"/>
      <c r="L439" s="123"/>
      <c r="P439" s="123"/>
      <c r="R439" s="123"/>
    </row>
    <row r="440" ht="15.75" customHeight="1">
      <c r="I440" s="123"/>
      <c r="L440" s="123"/>
      <c r="P440" s="123"/>
      <c r="R440" s="123"/>
    </row>
    <row r="441" ht="15.75" customHeight="1">
      <c r="I441" s="123"/>
      <c r="L441" s="123"/>
      <c r="P441" s="123"/>
      <c r="R441" s="123"/>
    </row>
    <row r="442" ht="15.75" customHeight="1">
      <c r="I442" s="123"/>
      <c r="L442" s="123"/>
      <c r="P442" s="123"/>
      <c r="R442" s="123"/>
    </row>
    <row r="443" ht="15.75" customHeight="1">
      <c r="I443" s="123"/>
      <c r="L443" s="123"/>
      <c r="P443" s="123"/>
      <c r="R443" s="123"/>
    </row>
    <row r="444" ht="15.75" customHeight="1">
      <c r="I444" s="123"/>
      <c r="L444" s="123"/>
      <c r="P444" s="123"/>
      <c r="R444" s="123"/>
    </row>
    <row r="445" ht="15.75" customHeight="1">
      <c r="I445" s="123"/>
      <c r="L445" s="123"/>
      <c r="P445" s="123"/>
      <c r="R445" s="123"/>
    </row>
    <row r="446" ht="15.75" customHeight="1">
      <c r="I446" s="123"/>
      <c r="L446" s="123"/>
      <c r="P446" s="123"/>
      <c r="R446" s="123"/>
    </row>
    <row r="447" ht="15.75" customHeight="1">
      <c r="I447" s="123"/>
      <c r="L447" s="123"/>
      <c r="P447" s="123"/>
      <c r="R447" s="123"/>
    </row>
    <row r="448" ht="15.75" customHeight="1">
      <c r="I448" s="123"/>
      <c r="L448" s="123"/>
      <c r="P448" s="123"/>
      <c r="R448" s="123"/>
    </row>
    <row r="449" ht="15.75" customHeight="1">
      <c r="I449" s="123"/>
      <c r="L449" s="123"/>
      <c r="P449" s="123"/>
      <c r="R449" s="123"/>
    </row>
    <row r="450" ht="15.75" customHeight="1">
      <c r="I450" s="123"/>
      <c r="L450" s="123"/>
      <c r="P450" s="123"/>
      <c r="R450" s="123"/>
    </row>
    <row r="451" ht="15.75" customHeight="1">
      <c r="I451" s="123"/>
      <c r="L451" s="123"/>
      <c r="P451" s="123"/>
      <c r="R451" s="123"/>
    </row>
    <row r="452" ht="15.75" customHeight="1">
      <c r="I452" s="123"/>
      <c r="L452" s="123"/>
      <c r="P452" s="123"/>
      <c r="R452" s="123"/>
    </row>
    <row r="453" ht="15.75" customHeight="1">
      <c r="I453" s="123"/>
      <c r="L453" s="123"/>
      <c r="P453" s="123"/>
      <c r="R453" s="123"/>
    </row>
    <row r="454" ht="15.75" customHeight="1">
      <c r="I454" s="123"/>
      <c r="L454" s="123"/>
      <c r="P454" s="123"/>
      <c r="R454" s="123"/>
    </row>
    <row r="455" ht="15.75" customHeight="1">
      <c r="I455" s="123"/>
      <c r="L455" s="123"/>
      <c r="P455" s="123"/>
      <c r="R455" s="123"/>
    </row>
    <row r="456" ht="15.75" customHeight="1">
      <c r="I456" s="123"/>
      <c r="L456" s="123"/>
      <c r="P456" s="123"/>
      <c r="R456" s="123"/>
    </row>
    <row r="457" ht="15.75" customHeight="1">
      <c r="I457" s="123"/>
      <c r="L457" s="123"/>
      <c r="P457" s="123"/>
      <c r="R457" s="123"/>
    </row>
    <row r="458" ht="15.75" customHeight="1">
      <c r="I458" s="123"/>
      <c r="L458" s="123"/>
      <c r="P458" s="123"/>
      <c r="R458" s="123"/>
    </row>
    <row r="459" ht="15.75" customHeight="1">
      <c r="I459" s="123"/>
      <c r="L459" s="123"/>
      <c r="P459" s="123"/>
      <c r="R459" s="123"/>
    </row>
    <row r="460" ht="15.75" customHeight="1">
      <c r="I460" s="123"/>
      <c r="L460" s="123"/>
      <c r="P460" s="123"/>
      <c r="R460" s="123"/>
    </row>
    <row r="461" ht="15.75" customHeight="1">
      <c r="I461" s="123"/>
      <c r="L461" s="123"/>
      <c r="P461" s="123"/>
      <c r="R461" s="123"/>
    </row>
    <row r="462" ht="15.75" customHeight="1">
      <c r="I462" s="123"/>
      <c r="L462" s="123"/>
      <c r="P462" s="123"/>
      <c r="R462" s="123"/>
    </row>
    <row r="463" ht="15.75" customHeight="1">
      <c r="I463" s="123"/>
      <c r="L463" s="123"/>
      <c r="P463" s="123"/>
      <c r="R463" s="123"/>
    </row>
    <row r="464" ht="15.75" customHeight="1">
      <c r="I464" s="123"/>
      <c r="L464" s="123"/>
      <c r="P464" s="123"/>
      <c r="R464" s="123"/>
    </row>
    <row r="465" ht="15.75" customHeight="1">
      <c r="I465" s="123"/>
      <c r="L465" s="123"/>
      <c r="P465" s="123"/>
      <c r="R465" s="123"/>
    </row>
    <row r="466" ht="15.75" customHeight="1">
      <c r="I466" s="123"/>
      <c r="L466" s="123"/>
      <c r="P466" s="123"/>
      <c r="R466" s="123"/>
    </row>
    <row r="467" ht="15.75" customHeight="1">
      <c r="I467" s="123"/>
      <c r="L467" s="123"/>
      <c r="P467" s="123"/>
      <c r="R467" s="123"/>
    </row>
    <row r="468" ht="15.75" customHeight="1">
      <c r="I468" s="123"/>
      <c r="L468" s="123"/>
      <c r="P468" s="123"/>
      <c r="R468" s="123"/>
    </row>
    <row r="469" ht="15.75" customHeight="1">
      <c r="I469" s="123"/>
      <c r="L469" s="123"/>
      <c r="P469" s="123"/>
      <c r="R469" s="123"/>
    </row>
    <row r="470" ht="15.75" customHeight="1">
      <c r="I470" s="123"/>
      <c r="L470" s="123"/>
      <c r="P470" s="123"/>
      <c r="R470" s="123"/>
    </row>
    <row r="471" ht="15.75" customHeight="1">
      <c r="I471" s="123"/>
      <c r="L471" s="123"/>
      <c r="P471" s="123"/>
      <c r="R471" s="123"/>
    </row>
    <row r="472" ht="15.75" customHeight="1">
      <c r="I472" s="123"/>
      <c r="L472" s="123"/>
      <c r="P472" s="123"/>
      <c r="R472" s="123"/>
    </row>
    <row r="473" ht="15.75" customHeight="1">
      <c r="I473" s="123"/>
      <c r="L473" s="123"/>
      <c r="P473" s="123"/>
      <c r="R473" s="123"/>
    </row>
    <row r="474" ht="15.75" customHeight="1">
      <c r="I474" s="123"/>
      <c r="L474" s="123"/>
      <c r="P474" s="123"/>
      <c r="R474" s="123"/>
    </row>
    <row r="475" ht="15.75" customHeight="1">
      <c r="I475" s="123"/>
      <c r="L475" s="123"/>
      <c r="P475" s="123"/>
      <c r="R475" s="123"/>
    </row>
    <row r="476" ht="15.75" customHeight="1">
      <c r="I476" s="123"/>
      <c r="L476" s="123"/>
      <c r="P476" s="123"/>
      <c r="R476" s="123"/>
    </row>
    <row r="477" ht="15.75" customHeight="1">
      <c r="I477" s="123"/>
      <c r="L477" s="123"/>
      <c r="P477" s="123"/>
      <c r="R477" s="123"/>
    </row>
    <row r="478" ht="15.75" customHeight="1">
      <c r="I478" s="123"/>
      <c r="L478" s="123"/>
      <c r="P478" s="123"/>
      <c r="R478" s="123"/>
    </row>
    <row r="479" ht="15.75" customHeight="1">
      <c r="I479" s="123"/>
      <c r="L479" s="123"/>
      <c r="P479" s="123"/>
      <c r="R479" s="123"/>
    </row>
    <row r="480" ht="15.75" customHeight="1">
      <c r="I480" s="123"/>
      <c r="L480" s="123"/>
      <c r="P480" s="123"/>
      <c r="R480" s="123"/>
    </row>
    <row r="481" ht="15.75" customHeight="1">
      <c r="I481" s="123"/>
      <c r="L481" s="123"/>
      <c r="P481" s="123"/>
      <c r="R481" s="123"/>
    </row>
    <row r="482" ht="15.75" customHeight="1">
      <c r="I482" s="123"/>
      <c r="L482" s="123"/>
      <c r="P482" s="123"/>
      <c r="R482" s="123"/>
    </row>
    <row r="483" ht="15.75" customHeight="1">
      <c r="I483" s="123"/>
      <c r="L483" s="123"/>
      <c r="P483" s="123"/>
      <c r="R483" s="123"/>
    </row>
    <row r="484" ht="15.75" customHeight="1">
      <c r="I484" s="123"/>
      <c r="L484" s="123"/>
      <c r="P484" s="123"/>
      <c r="R484" s="123"/>
    </row>
    <row r="485" ht="15.75" customHeight="1">
      <c r="I485" s="123"/>
      <c r="L485" s="123"/>
      <c r="P485" s="123"/>
      <c r="R485" s="123"/>
    </row>
    <row r="486" ht="15.75" customHeight="1">
      <c r="I486" s="123"/>
      <c r="L486" s="123"/>
      <c r="P486" s="123"/>
      <c r="R486" s="123"/>
    </row>
    <row r="487" ht="15.75" customHeight="1">
      <c r="I487" s="123"/>
      <c r="L487" s="123"/>
      <c r="P487" s="123"/>
      <c r="R487" s="123"/>
    </row>
    <row r="488" ht="15.75" customHeight="1">
      <c r="I488" s="123"/>
      <c r="L488" s="123"/>
      <c r="P488" s="123"/>
      <c r="R488" s="123"/>
    </row>
    <row r="489" ht="15.75" customHeight="1">
      <c r="I489" s="123"/>
      <c r="L489" s="123"/>
      <c r="P489" s="123"/>
      <c r="R489" s="123"/>
    </row>
    <row r="490" ht="15.75" customHeight="1">
      <c r="I490" s="123"/>
      <c r="L490" s="123"/>
      <c r="P490" s="123"/>
      <c r="R490" s="123"/>
    </row>
    <row r="491" ht="15.75" customHeight="1">
      <c r="I491" s="123"/>
      <c r="L491" s="123"/>
      <c r="P491" s="123"/>
      <c r="R491" s="123"/>
    </row>
    <row r="492" ht="15.75" customHeight="1">
      <c r="I492" s="123"/>
      <c r="L492" s="123"/>
      <c r="P492" s="123"/>
      <c r="R492" s="123"/>
    </row>
    <row r="493" ht="15.75" customHeight="1">
      <c r="I493" s="123"/>
      <c r="L493" s="123"/>
      <c r="P493" s="123"/>
      <c r="R493" s="123"/>
    </row>
    <row r="494" ht="15.75" customHeight="1">
      <c r="I494" s="123"/>
      <c r="L494" s="123"/>
      <c r="P494" s="123"/>
      <c r="R494" s="123"/>
    </row>
    <row r="495" ht="15.75" customHeight="1">
      <c r="I495" s="123"/>
      <c r="L495" s="123"/>
      <c r="P495" s="123"/>
      <c r="R495" s="123"/>
    </row>
    <row r="496" ht="15.75" customHeight="1">
      <c r="I496" s="123"/>
      <c r="L496" s="123"/>
      <c r="P496" s="123"/>
      <c r="R496" s="123"/>
    </row>
    <row r="497" ht="15.75" customHeight="1">
      <c r="I497" s="123"/>
      <c r="L497" s="123"/>
      <c r="P497" s="123"/>
      <c r="R497" s="123"/>
    </row>
    <row r="498" ht="15.75" customHeight="1">
      <c r="I498" s="123"/>
      <c r="L498" s="123"/>
      <c r="P498" s="123"/>
      <c r="R498" s="123"/>
    </row>
    <row r="499" ht="15.75" customHeight="1">
      <c r="I499" s="123"/>
      <c r="L499" s="123"/>
      <c r="P499" s="123"/>
      <c r="R499" s="123"/>
    </row>
    <row r="500" ht="15.75" customHeight="1">
      <c r="I500" s="123"/>
      <c r="L500" s="123"/>
      <c r="P500" s="123"/>
      <c r="R500" s="123"/>
    </row>
    <row r="501" ht="15.75" customHeight="1">
      <c r="I501" s="123"/>
      <c r="L501" s="123"/>
      <c r="P501" s="123"/>
      <c r="R501" s="123"/>
    </row>
    <row r="502" ht="15.75" customHeight="1">
      <c r="I502" s="123"/>
      <c r="L502" s="123"/>
      <c r="P502" s="123"/>
      <c r="R502" s="123"/>
    </row>
    <row r="503" ht="15.75" customHeight="1">
      <c r="I503" s="123"/>
      <c r="L503" s="123"/>
      <c r="P503" s="123"/>
      <c r="R503" s="123"/>
    </row>
    <row r="504" ht="15.75" customHeight="1">
      <c r="I504" s="123"/>
      <c r="L504" s="123"/>
      <c r="P504" s="123"/>
      <c r="R504" s="123"/>
    </row>
    <row r="505" ht="15.75" customHeight="1">
      <c r="I505" s="123"/>
      <c r="L505" s="123"/>
      <c r="P505" s="123"/>
      <c r="R505" s="123"/>
    </row>
    <row r="506" ht="15.75" customHeight="1">
      <c r="I506" s="123"/>
      <c r="L506" s="123"/>
      <c r="P506" s="123"/>
      <c r="R506" s="123"/>
    </row>
    <row r="507" ht="15.75" customHeight="1">
      <c r="I507" s="123"/>
      <c r="L507" s="123"/>
      <c r="P507" s="123"/>
      <c r="R507" s="123"/>
    </row>
    <row r="508" ht="15.75" customHeight="1">
      <c r="I508" s="123"/>
      <c r="L508" s="123"/>
      <c r="P508" s="123"/>
      <c r="R508" s="123"/>
    </row>
    <row r="509" ht="15.75" customHeight="1">
      <c r="I509" s="123"/>
      <c r="L509" s="123"/>
      <c r="P509" s="123"/>
      <c r="R509" s="123"/>
    </row>
    <row r="510" ht="15.75" customHeight="1">
      <c r="I510" s="123"/>
      <c r="L510" s="123"/>
      <c r="P510" s="123"/>
      <c r="R510" s="123"/>
    </row>
    <row r="511" ht="15.75" customHeight="1">
      <c r="I511" s="123"/>
      <c r="L511" s="123"/>
      <c r="P511" s="123"/>
      <c r="R511" s="123"/>
    </row>
    <row r="512" ht="15.75" customHeight="1">
      <c r="I512" s="123"/>
      <c r="L512" s="123"/>
      <c r="P512" s="123"/>
      <c r="R512" s="123"/>
    </row>
    <row r="513" ht="15.75" customHeight="1">
      <c r="I513" s="123"/>
      <c r="L513" s="123"/>
      <c r="P513" s="123"/>
      <c r="R513" s="123"/>
    </row>
    <row r="514" ht="15.75" customHeight="1">
      <c r="I514" s="123"/>
      <c r="L514" s="123"/>
      <c r="P514" s="123"/>
      <c r="R514" s="123"/>
    </row>
    <row r="515" ht="15.75" customHeight="1">
      <c r="I515" s="123"/>
      <c r="L515" s="123"/>
      <c r="P515" s="123"/>
      <c r="R515" s="123"/>
    </row>
    <row r="516" ht="15.75" customHeight="1">
      <c r="I516" s="123"/>
      <c r="L516" s="123"/>
      <c r="P516" s="123"/>
      <c r="R516" s="123"/>
    </row>
    <row r="517" ht="15.75" customHeight="1">
      <c r="I517" s="123"/>
      <c r="L517" s="123"/>
      <c r="P517" s="123"/>
      <c r="R517" s="123"/>
    </row>
    <row r="518" ht="15.75" customHeight="1">
      <c r="I518" s="123"/>
      <c r="L518" s="123"/>
      <c r="P518" s="123"/>
      <c r="R518" s="123"/>
    </row>
    <row r="519" ht="15.75" customHeight="1">
      <c r="I519" s="123"/>
      <c r="L519" s="123"/>
      <c r="P519" s="123"/>
      <c r="R519" s="123"/>
    </row>
    <row r="520" ht="15.75" customHeight="1">
      <c r="I520" s="123"/>
      <c r="L520" s="123"/>
      <c r="P520" s="123"/>
      <c r="R520" s="123"/>
    </row>
    <row r="521" ht="15.75" customHeight="1">
      <c r="I521" s="123"/>
      <c r="L521" s="123"/>
      <c r="P521" s="123"/>
      <c r="R521" s="123"/>
    </row>
    <row r="522" ht="15.75" customHeight="1">
      <c r="I522" s="123"/>
      <c r="L522" s="123"/>
      <c r="P522" s="123"/>
      <c r="R522" s="123"/>
    </row>
    <row r="523" ht="15.75" customHeight="1">
      <c r="I523" s="123"/>
      <c r="L523" s="123"/>
      <c r="P523" s="123"/>
      <c r="R523" s="123"/>
    </row>
    <row r="524" ht="15.75" customHeight="1">
      <c r="I524" s="123"/>
      <c r="L524" s="123"/>
      <c r="P524" s="123"/>
      <c r="R524" s="123"/>
    </row>
    <row r="525" ht="15.75" customHeight="1">
      <c r="I525" s="123"/>
      <c r="L525" s="123"/>
      <c r="P525" s="123"/>
      <c r="R525" s="123"/>
    </row>
    <row r="526" ht="15.75" customHeight="1">
      <c r="I526" s="123"/>
      <c r="L526" s="123"/>
      <c r="P526" s="123"/>
      <c r="R526" s="123"/>
    </row>
    <row r="527" ht="15.75" customHeight="1">
      <c r="I527" s="123"/>
      <c r="L527" s="123"/>
      <c r="P527" s="123"/>
      <c r="R527" s="123"/>
    </row>
    <row r="528" ht="15.75" customHeight="1">
      <c r="I528" s="123"/>
      <c r="L528" s="123"/>
      <c r="P528" s="123"/>
      <c r="R528" s="123"/>
    </row>
    <row r="529" ht="15.75" customHeight="1">
      <c r="I529" s="123"/>
      <c r="L529" s="123"/>
      <c r="P529" s="123"/>
      <c r="R529" s="123"/>
    </row>
    <row r="530" ht="15.75" customHeight="1">
      <c r="I530" s="123"/>
      <c r="L530" s="123"/>
      <c r="P530" s="123"/>
      <c r="R530" s="123"/>
    </row>
    <row r="531" ht="15.75" customHeight="1">
      <c r="I531" s="123"/>
      <c r="L531" s="123"/>
      <c r="P531" s="123"/>
      <c r="R531" s="123"/>
    </row>
    <row r="532" ht="15.75" customHeight="1">
      <c r="I532" s="123"/>
      <c r="L532" s="123"/>
      <c r="P532" s="123"/>
      <c r="R532" s="123"/>
    </row>
    <row r="533" ht="15.75" customHeight="1">
      <c r="I533" s="123"/>
      <c r="L533" s="123"/>
      <c r="P533" s="123"/>
      <c r="R533" s="123"/>
    </row>
    <row r="534" ht="15.75" customHeight="1">
      <c r="I534" s="123"/>
      <c r="L534" s="123"/>
      <c r="P534" s="123"/>
      <c r="R534" s="123"/>
    </row>
    <row r="535" ht="15.75" customHeight="1">
      <c r="I535" s="123"/>
      <c r="L535" s="123"/>
      <c r="P535" s="123"/>
      <c r="R535" s="123"/>
    </row>
    <row r="536" ht="15.75" customHeight="1">
      <c r="I536" s="123"/>
      <c r="L536" s="123"/>
      <c r="P536" s="123"/>
      <c r="R536" s="123"/>
    </row>
    <row r="537" ht="15.75" customHeight="1">
      <c r="I537" s="123"/>
      <c r="L537" s="123"/>
      <c r="P537" s="123"/>
      <c r="R537" s="123"/>
    </row>
    <row r="538" ht="15.75" customHeight="1">
      <c r="I538" s="123"/>
      <c r="L538" s="123"/>
      <c r="P538" s="123"/>
      <c r="R538" s="123"/>
    </row>
    <row r="539" ht="15.75" customHeight="1">
      <c r="I539" s="123"/>
      <c r="L539" s="123"/>
      <c r="P539" s="123"/>
      <c r="R539" s="123"/>
    </row>
    <row r="540" ht="15.75" customHeight="1">
      <c r="I540" s="123"/>
      <c r="L540" s="123"/>
      <c r="P540" s="123"/>
      <c r="R540" s="123"/>
    </row>
    <row r="541" ht="15.75" customHeight="1">
      <c r="I541" s="123"/>
      <c r="L541" s="123"/>
      <c r="P541" s="123"/>
      <c r="R541" s="123"/>
    </row>
    <row r="542" ht="15.75" customHeight="1">
      <c r="I542" s="123"/>
      <c r="L542" s="123"/>
      <c r="P542" s="123"/>
      <c r="R542" s="123"/>
    </row>
    <row r="543" ht="15.75" customHeight="1">
      <c r="I543" s="123"/>
      <c r="L543" s="123"/>
      <c r="P543" s="123"/>
      <c r="R543" s="123"/>
    </row>
    <row r="544" ht="15.75" customHeight="1">
      <c r="I544" s="123"/>
      <c r="L544" s="123"/>
      <c r="P544" s="123"/>
      <c r="R544" s="123"/>
    </row>
    <row r="545" ht="15.75" customHeight="1">
      <c r="I545" s="123"/>
      <c r="L545" s="123"/>
      <c r="P545" s="123"/>
      <c r="R545" s="123"/>
    </row>
    <row r="546" ht="15.75" customHeight="1">
      <c r="I546" s="123"/>
      <c r="L546" s="123"/>
      <c r="P546" s="123"/>
      <c r="R546" s="123"/>
    </row>
    <row r="547" ht="15.75" customHeight="1">
      <c r="I547" s="123"/>
      <c r="L547" s="123"/>
      <c r="P547" s="123"/>
      <c r="R547" s="123"/>
    </row>
    <row r="548" ht="15.75" customHeight="1">
      <c r="I548" s="123"/>
      <c r="L548" s="123"/>
      <c r="P548" s="123"/>
      <c r="R548" s="123"/>
    </row>
    <row r="549" ht="15.75" customHeight="1">
      <c r="I549" s="123"/>
      <c r="L549" s="123"/>
      <c r="P549" s="123"/>
      <c r="R549" s="123"/>
    </row>
    <row r="550" ht="15.75" customHeight="1">
      <c r="I550" s="123"/>
      <c r="L550" s="123"/>
      <c r="P550" s="123"/>
      <c r="R550" s="123"/>
    </row>
    <row r="551" ht="15.75" customHeight="1">
      <c r="I551" s="123"/>
      <c r="L551" s="123"/>
      <c r="P551" s="123"/>
      <c r="R551" s="123"/>
    </row>
    <row r="552" ht="15.75" customHeight="1">
      <c r="I552" s="123"/>
      <c r="L552" s="123"/>
      <c r="P552" s="123"/>
      <c r="R552" s="123"/>
    </row>
    <row r="553" ht="15.75" customHeight="1">
      <c r="I553" s="123"/>
      <c r="L553" s="123"/>
      <c r="P553" s="123"/>
      <c r="R553" s="123"/>
    </row>
    <row r="554" ht="15.75" customHeight="1">
      <c r="I554" s="123"/>
      <c r="L554" s="123"/>
      <c r="P554" s="123"/>
      <c r="R554" s="123"/>
    </row>
    <row r="555" ht="15.75" customHeight="1">
      <c r="I555" s="123"/>
      <c r="L555" s="123"/>
      <c r="P555" s="123"/>
      <c r="R555" s="123"/>
    </row>
    <row r="556" ht="15.75" customHeight="1">
      <c r="I556" s="123"/>
      <c r="L556" s="123"/>
      <c r="P556" s="123"/>
      <c r="R556" s="123"/>
    </row>
    <row r="557" ht="15.75" customHeight="1">
      <c r="I557" s="123"/>
      <c r="L557" s="123"/>
      <c r="P557" s="123"/>
      <c r="R557" s="123"/>
    </row>
    <row r="558" ht="15.75" customHeight="1">
      <c r="I558" s="123"/>
      <c r="L558" s="123"/>
      <c r="P558" s="123"/>
      <c r="R558" s="123"/>
    </row>
    <row r="559" ht="15.75" customHeight="1">
      <c r="I559" s="123"/>
      <c r="L559" s="123"/>
      <c r="P559" s="123"/>
      <c r="R559" s="123"/>
    </row>
    <row r="560" ht="15.75" customHeight="1">
      <c r="I560" s="123"/>
      <c r="L560" s="123"/>
      <c r="P560" s="123"/>
      <c r="R560" s="123"/>
    </row>
    <row r="561" ht="15.75" customHeight="1">
      <c r="I561" s="123"/>
      <c r="L561" s="123"/>
      <c r="P561" s="123"/>
      <c r="R561" s="123"/>
    </row>
    <row r="562" ht="15.75" customHeight="1">
      <c r="I562" s="123"/>
      <c r="L562" s="123"/>
      <c r="P562" s="123"/>
      <c r="R562" s="123"/>
    </row>
    <row r="563" ht="15.75" customHeight="1">
      <c r="I563" s="123"/>
      <c r="L563" s="123"/>
      <c r="P563" s="123"/>
      <c r="R563" s="123"/>
    </row>
    <row r="564" ht="15.75" customHeight="1">
      <c r="I564" s="123"/>
      <c r="L564" s="123"/>
      <c r="P564" s="123"/>
      <c r="R564" s="123"/>
    </row>
    <row r="565" ht="15.75" customHeight="1">
      <c r="I565" s="123"/>
      <c r="L565" s="123"/>
      <c r="P565" s="123"/>
      <c r="R565" s="123"/>
    </row>
    <row r="566" ht="15.75" customHeight="1">
      <c r="I566" s="123"/>
      <c r="L566" s="123"/>
      <c r="P566" s="123"/>
      <c r="R566" s="123"/>
    </row>
    <row r="567" ht="15.75" customHeight="1">
      <c r="I567" s="123"/>
      <c r="L567" s="123"/>
      <c r="P567" s="123"/>
      <c r="R567" s="123"/>
    </row>
    <row r="568" ht="15.75" customHeight="1">
      <c r="I568" s="123"/>
      <c r="L568" s="123"/>
      <c r="P568" s="123"/>
      <c r="R568" s="123"/>
    </row>
    <row r="569" ht="15.75" customHeight="1">
      <c r="I569" s="123"/>
      <c r="L569" s="123"/>
      <c r="P569" s="123"/>
      <c r="R569" s="123"/>
    </row>
    <row r="570" ht="15.75" customHeight="1">
      <c r="I570" s="123"/>
      <c r="L570" s="123"/>
      <c r="P570" s="123"/>
      <c r="R570" s="123"/>
    </row>
    <row r="571" ht="15.75" customHeight="1">
      <c r="I571" s="123"/>
      <c r="L571" s="123"/>
      <c r="P571" s="123"/>
      <c r="R571" s="123"/>
    </row>
    <row r="572" ht="15.75" customHeight="1">
      <c r="I572" s="123"/>
      <c r="L572" s="123"/>
      <c r="P572" s="123"/>
      <c r="R572" s="123"/>
    </row>
    <row r="573" ht="15.75" customHeight="1">
      <c r="I573" s="123"/>
      <c r="L573" s="123"/>
      <c r="P573" s="123"/>
      <c r="R573" s="123"/>
    </row>
    <row r="574" ht="15.75" customHeight="1">
      <c r="I574" s="123"/>
      <c r="L574" s="123"/>
      <c r="P574" s="123"/>
      <c r="R574" s="123"/>
    </row>
    <row r="575" ht="15.75" customHeight="1">
      <c r="I575" s="123"/>
      <c r="L575" s="123"/>
      <c r="P575" s="123"/>
      <c r="R575" s="123"/>
    </row>
    <row r="576" ht="15.75" customHeight="1">
      <c r="I576" s="123"/>
      <c r="L576" s="123"/>
      <c r="P576" s="123"/>
      <c r="R576" s="123"/>
    </row>
    <row r="577" ht="15.75" customHeight="1">
      <c r="I577" s="123"/>
      <c r="L577" s="123"/>
      <c r="P577" s="123"/>
      <c r="R577" s="123"/>
    </row>
    <row r="578" ht="15.75" customHeight="1">
      <c r="I578" s="123"/>
      <c r="L578" s="123"/>
      <c r="P578" s="123"/>
      <c r="R578" s="123"/>
    </row>
    <row r="579" ht="15.75" customHeight="1">
      <c r="I579" s="123"/>
      <c r="L579" s="123"/>
      <c r="P579" s="123"/>
      <c r="R579" s="123"/>
    </row>
    <row r="580" ht="15.75" customHeight="1">
      <c r="I580" s="123"/>
      <c r="L580" s="123"/>
      <c r="P580" s="123"/>
      <c r="R580" s="123"/>
    </row>
    <row r="581" ht="15.75" customHeight="1">
      <c r="I581" s="123"/>
      <c r="L581" s="123"/>
      <c r="P581" s="123"/>
      <c r="R581" s="123"/>
    </row>
    <row r="582" ht="15.75" customHeight="1">
      <c r="I582" s="123"/>
      <c r="L582" s="123"/>
      <c r="P582" s="123"/>
      <c r="R582" s="123"/>
    </row>
    <row r="583" ht="15.75" customHeight="1">
      <c r="I583" s="123"/>
      <c r="L583" s="123"/>
      <c r="P583" s="123"/>
      <c r="R583" s="123"/>
    </row>
    <row r="584" ht="15.75" customHeight="1">
      <c r="I584" s="123"/>
      <c r="L584" s="123"/>
      <c r="P584" s="123"/>
      <c r="R584" s="123"/>
    </row>
    <row r="585" ht="15.75" customHeight="1">
      <c r="I585" s="123"/>
      <c r="L585" s="123"/>
      <c r="P585" s="123"/>
      <c r="R585" s="123"/>
    </row>
    <row r="586" ht="15.75" customHeight="1">
      <c r="I586" s="123"/>
      <c r="L586" s="123"/>
      <c r="P586" s="123"/>
      <c r="R586" s="123"/>
    </row>
    <row r="587" ht="15.75" customHeight="1">
      <c r="I587" s="123"/>
      <c r="L587" s="123"/>
      <c r="P587" s="123"/>
      <c r="R587" s="123"/>
    </row>
    <row r="588" ht="15.75" customHeight="1">
      <c r="I588" s="123"/>
      <c r="L588" s="123"/>
      <c r="P588" s="123"/>
      <c r="R588" s="123"/>
    </row>
    <row r="589" ht="15.75" customHeight="1">
      <c r="I589" s="123"/>
      <c r="L589" s="123"/>
      <c r="P589" s="123"/>
      <c r="R589" s="123"/>
    </row>
    <row r="590" ht="15.75" customHeight="1">
      <c r="I590" s="123"/>
      <c r="L590" s="123"/>
      <c r="P590" s="123"/>
      <c r="R590" s="123"/>
    </row>
    <row r="591" ht="15.75" customHeight="1">
      <c r="I591" s="123"/>
      <c r="L591" s="123"/>
      <c r="P591" s="123"/>
      <c r="R591" s="123"/>
    </row>
    <row r="592" ht="15.75" customHeight="1">
      <c r="I592" s="123"/>
      <c r="L592" s="123"/>
      <c r="P592" s="123"/>
      <c r="R592" s="123"/>
    </row>
    <row r="593" ht="15.75" customHeight="1">
      <c r="I593" s="123"/>
      <c r="L593" s="123"/>
      <c r="P593" s="123"/>
      <c r="R593" s="123"/>
    </row>
    <row r="594" ht="15.75" customHeight="1">
      <c r="I594" s="123"/>
      <c r="L594" s="123"/>
      <c r="P594" s="123"/>
      <c r="R594" s="123"/>
    </row>
    <row r="595" ht="15.75" customHeight="1">
      <c r="I595" s="123"/>
      <c r="L595" s="123"/>
      <c r="P595" s="123"/>
      <c r="R595" s="123"/>
    </row>
    <row r="596" ht="15.75" customHeight="1">
      <c r="I596" s="123"/>
      <c r="L596" s="123"/>
      <c r="P596" s="123"/>
      <c r="R596" s="123"/>
    </row>
    <row r="597" ht="15.75" customHeight="1">
      <c r="I597" s="123"/>
      <c r="L597" s="123"/>
      <c r="P597" s="123"/>
      <c r="R597" s="123"/>
    </row>
    <row r="598" ht="15.75" customHeight="1">
      <c r="I598" s="123"/>
      <c r="L598" s="123"/>
      <c r="P598" s="123"/>
      <c r="R598" s="123"/>
    </row>
    <row r="599" ht="15.75" customHeight="1">
      <c r="I599" s="123"/>
      <c r="L599" s="123"/>
      <c r="P599" s="123"/>
      <c r="R599" s="123"/>
    </row>
    <row r="600" ht="15.75" customHeight="1">
      <c r="I600" s="123"/>
      <c r="L600" s="123"/>
      <c r="P600" s="123"/>
      <c r="R600" s="123"/>
    </row>
    <row r="601" ht="15.75" customHeight="1">
      <c r="I601" s="123"/>
      <c r="L601" s="123"/>
      <c r="P601" s="123"/>
      <c r="R601" s="123"/>
    </row>
    <row r="602" ht="15.75" customHeight="1">
      <c r="I602" s="123"/>
      <c r="L602" s="123"/>
      <c r="P602" s="123"/>
      <c r="R602" s="123"/>
    </row>
    <row r="603" ht="15.75" customHeight="1">
      <c r="I603" s="123"/>
      <c r="L603" s="123"/>
      <c r="P603" s="123"/>
      <c r="R603" s="123"/>
    </row>
    <row r="604" ht="15.75" customHeight="1">
      <c r="I604" s="123"/>
      <c r="L604" s="123"/>
      <c r="P604" s="123"/>
      <c r="R604" s="123"/>
    </row>
    <row r="605" ht="15.75" customHeight="1">
      <c r="I605" s="123"/>
      <c r="L605" s="123"/>
      <c r="P605" s="123"/>
      <c r="R605" s="123"/>
    </row>
    <row r="606" ht="15.75" customHeight="1">
      <c r="I606" s="123"/>
      <c r="L606" s="123"/>
      <c r="P606" s="123"/>
      <c r="R606" s="123"/>
    </row>
    <row r="607" ht="15.75" customHeight="1">
      <c r="I607" s="123"/>
      <c r="L607" s="123"/>
      <c r="P607" s="123"/>
      <c r="R607" s="123"/>
    </row>
    <row r="608" ht="15.75" customHeight="1">
      <c r="I608" s="123"/>
      <c r="L608" s="123"/>
      <c r="P608" s="123"/>
      <c r="R608" s="123"/>
    </row>
    <row r="609" ht="15.75" customHeight="1">
      <c r="I609" s="123"/>
      <c r="L609" s="123"/>
      <c r="P609" s="123"/>
      <c r="R609" s="123"/>
    </row>
    <row r="610" ht="15.75" customHeight="1">
      <c r="I610" s="123"/>
      <c r="L610" s="123"/>
      <c r="P610" s="123"/>
      <c r="R610" s="123"/>
    </row>
    <row r="611" ht="15.75" customHeight="1">
      <c r="I611" s="123"/>
      <c r="L611" s="123"/>
      <c r="P611" s="123"/>
      <c r="R611" s="123"/>
    </row>
    <row r="612" ht="15.75" customHeight="1">
      <c r="I612" s="123"/>
      <c r="L612" s="123"/>
      <c r="P612" s="123"/>
      <c r="R612" s="123"/>
    </row>
    <row r="613" ht="15.75" customHeight="1">
      <c r="I613" s="123"/>
      <c r="L613" s="123"/>
      <c r="P613" s="123"/>
      <c r="R613" s="123"/>
    </row>
    <row r="614" ht="15.75" customHeight="1">
      <c r="I614" s="123"/>
      <c r="L614" s="123"/>
      <c r="P614" s="123"/>
      <c r="R614" s="123"/>
    </row>
    <row r="615" ht="15.75" customHeight="1">
      <c r="I615" s="123"/>
      <c r="L615" s="123"/>
      <c r="P615" s="123"/>
      <c r="R615" s="123"/>
    </row>
    <row r="616" ht="15.75" customHeight="1">
      <c r="I616" s="123"/>
      <c r="L616" s="123"/>
      <c r="P616" s="123"/>
      <c r="R616" s="123"/>
    </row>
    <row r="617" ht="15.75" customHeight="1">
      <c r="I617" s="123"/>
      <c r="L617" s="123"/>
      <c r="P617" s="123"/>
      <c r="R617" s="123"/>
    </row>
    <row r="618" ht="15.75" customHeight="1">
      <c r="I618" s="123"/>
      <c r="L618" s="123"/>
      <c r="P618" s="123"/>
      <c r="R618" s="123"/>
    </row>
    <row r="619" ht="15.75" customHeight="1">
      <c r="I619" s="123"/>
      <c r="L619" s="123"/>
      <c r="P619" s="123"/>
      <c r="R619" s="123"/>
    </row>
    <row r="620" ht="15.75" customHeight="1">
      <c r="I620" s="123"/>
      <c r="L620" s="123"/>
      <c r="P620" s="123"/>
      <c r="R620" s="123"/>
    </row>
    <row r="621" ht="15.75" customHeight="1">
      <c r="I621" s="123"/>
      <c r="L621" s="123"/>
      <c r="P621" s="123"/>
      <c r="R621" s="123"/>
    </row>
    <row r="622" ht="15.75" customHeight="1">
      <c r="I622" s="123"/>
      <c r="L622" s="123"/>
      <c r="P622" s="123"/>
      <c r="R622" s="123"/>
    </row>
    <row r="623" ht="15.75" customHeight="1">
      <c r="I623" s="123"/>
      <c r="L623" s="123"/>
      <c r="P623" s="123"/>
      <c r="R623" s="123"/>
    </row>
    <row r="624" ht="15.75" customHeight="1">
      <c r="I624" s="123"/>
      <c r="L624" s="123"/>
      <c r="P624" s="123"/>
      <c r="R624" s="123"/>
    </row>
    <row r="625" ht="15.75" customHeight="1">
      <c r="I625" s="123"/>
      <c r="L625" s="123"/>
      <c r="P625" s="123"/>
      <c r="R625" s="123"/>
    </row>
    <row r="626" ht="15.75" customHeight="1">
      <c r="I626" s="123"/>
      <c r="L626" s="123"/>
      <c r="P626" s="123"/>
      <c r="R626" s="123"/>
    </row>
    <row r="627" ht="15.75" customHeight="1">
      <c r="I627" s="123"/>
      <c r="L627" s="123"/>
      <c r="P627" s="123"/>
      <c r="R627" s="123"/>
    </row>
    <row r="628" ht="15.75" customHeight="1">
      <c r="I628" s="123"/>
      <c r="L628" s="123"/>
      <c r="P628" s="123"/>
      <c r="R628" s="123"/>
    </row>
    <row r="629" ht="15.75" customHeight="1">
      <c r="I629" s="123"/>
      <c r="L629" s="123"/>
      <c r="P629" s="123"/>
      <c r="R629" s="123"/>
    </row>
    <row r="630" ht="15.75" customHeight="1">
      <c r="I630" s="123"/>
      <c r="L630" s="123"/>
      <c r="P630" s="123"/>
      <c r="R630" s="123"/>
    </row>
    <row r="631" ht="15.75" customHeight="1">
      <c r="I631" s="123"/>
      <c r="L631" s="123"/>
      <c r="P631" s="123"/>
      <c r="R631" s="123"/>
    </row>
    <row r="632" ht="15.75" customHeight="1">
      <c r="I632" s="123"/>
      <c r="L632" s="123"/>
      <c r="P632" s="123"/>
      <c r="R632" s="123"/>
    </row>
    <row r="633" ht="15.75" customHeight="1">
      <c r="I633" s="123"/>
      <c r="L633" s="123"/>
      <c r="P633" s="123"/>
      <c r="R633" s="123"/>
    </row>
    <row r="634" ht="15.75" customHeight="1">
      <c r="I634" s="123"/>
      <c r="L634" s="123"/>
      <c r="P634" s="123"/>
      <c r="R634" s="123"/>
    </row>
    <row r="635" ht="15.75" customHeight="1">
      <c r="I635" s="123"/>
      <c r="L635" s="123"/>
      <c r="P635" s="123"/>
      <c r="R635" s="123"/>
    </row>
    <row r="636" ht="15.75" customHeight="1">
      <c r="I636" s="123"/>
      <c r="L636" s="123"/>
      <c r="P636" s="123"/>
      <c r="R636" s="123"/>
    </row>
    <row r="637" ht="15.75" customHeight="1">
      <c r="I637" s="123"/>
      <c r="L637" s="123"/>
      <c r="P637" s="123"/>
      <c r="R637" s="123"/>
    </row>
    <row r="638" ht="15.75" customHeight="1">
      <c r="I638" s="123"/>
      <c r="L638" s="123"/>
      <c r="P638" s="123"/>
      <c r="R638" s="123"/>
    </row>
    <row r="639" ht="15.75" customHeight="1">
      <c r="I639" s="123"/>
      <c r="L639" s="123"/>
      <c r="P639" s="123"/>
      <c r="R639" s="123"/>
    </row>
    <row r="640" ht="15.75" customHeight="1">
      <c r="I640" s="123"/>
      <c r="L640" s="123"/>
      <c r="P640" s="123"/>
      <c r="R640" s="123"/>
    </row>
    <row r="641" ht="15.75" customHeight="1">
      <c r="I641" s="123"/>
      <c r="L641" s="123"/>
      <c r="P641" s="123"/>
      <c r="R641" s="123"/>
    </row>
    <row r="642" ht="15.75" customHeight="1">
      <c r="I642" s="123"/>
      <c r="L642" s="123"/>
      <c r="P642" s="123"/>
      <c r="R642" s="123"/>
    </row>
    <row r="643" ht="15.75" customHeight="1">
      <c r="I643" s="123"/>
      <c r="L643" s="123"/>
      <c r="P643" s="123"/>
      <c r="R643" s="123"/>
    </row>
    <row r="644" ht="15.75" customHeight="1">
      <c r="I644" s="123"/>
      <c r="L644" s="123"/>
      <c r="P644" s="123"/>
      <c r="R644" s="123"/>
    </row>
    <row r="645" ht="15.75" customHeight="1">
      <c r="I645" s="123"/>
      <c r="L645" s="123"/>
      <c r="P645" s="123"/>
      <c r="R645" s="123"/>
    </row>
    <row r="646" ht="15.75" customHeight="1">
      <c r="I646" s="123"/>
      <c r="L646" s="123"/>
      <c r="P646" s="123"/>
      <c r="R646" s="123"/>
    </row>
    <row r="647" ht="15.75" customHeight="1">
      <c r="I647" s="123"/>
      <c r="L647" s="123"/>
      <c r="P647" s="123"/>
      <c r="R647" s="123"/>
    </row>
    <row r="648" ht="15.75" customHeight="1">
      <c r="I648" s="123"/>
      <c r="L648" s="123"/>
      <c r="P648" s="123"/>
      <c r="R648" s="123"/>
    </row>
    <row r="649" ht="15.75" customHeight="1">
      <c r="I649" s="123"/>
      <c r="L649" s="123"/>
      <c r="P649" s="123"/>
      <c r="R649" s="123"/>
    </row>
    <row r="650" ht="15.75" customHeight="1">
      <c r="I650" s="123"/>
      <c r="L650" s="123"/>
      <c r="P650" s="123"/>
      <c r="R650" s="123"/>
    </row>
    <row r="651" ht="15.75" customHeight="1">
      <c r="I651" s="123"/>
      <c r="L651" s="123"/>
      <c r="P651" s="123"/>
      <c r="R651" s="123"/>
    </row>
    <row r="652" ht="15.75" customHeight="1">
      <c r="I652" s="123"/>
      <c r="L652" s="123"/>
      <c r="P652" s="123"/>
      <c r="R652" s="123"/>
    </row>
    <row r="653" ht="15.75" customHeight="1">
      <c r="I653" s="123"/>
      <c r="L653" s="123"/>
      <c r="P653" s="123"/>
      <c r="R653" s="123"/>
    </row>
    <row r="654" ht="15.75" customHeight="1">
      <c r="I654" s="123"/>
      <c r="L654" s="123"/>
      <c r="P654" s="123"/>
      <c r="R654" s="123"/>
    </row>
    <row r="655" ht="15.75" customHeight="1">
      <c r="I655" s="123"/>
      <c r="L655" s="123"/>
      <c r="P655" s="123"/>
      <c r="R655" s="123"/>
    </row>
    <row r="656" ht="15.75" customHeight="1">
      <c r="I656" s="123"/>
      <c r="L656" s="123"/>
      <c r="P656" s="123"/>
      <c r="R656" s="123"/>
    </row>
    <row r="657" ht="15.75" customHeight="1">
      <c r="I657" s="123"/>
      <c r="L657" s="123"/>
      <c r="P657" s="123"/>
      <c r="R657" s="123"/>
    </row>
    <row r="658" ht="15.75" customHeight="1">
      <c r="I658" s="123"/>
      <c r="L658" s="123"/>
      <c r="P658" s="123"/>
      <c r="R658" s="123"/>
    </row>
    <row r="659" ht="15.75" customHeight="1">
      <c r="I659" s="123"/>
      <c r="L659" s="123"/>
      <c r="P659" s="123"/>
      <c r="R659" s="123"/>
    </row>
    <row r="660" ht="15.75" customHeight="1">
      <c r="I660" s="123"/>
      <c r="L660" s="123"/>
      <c r="P660" s="123"/>
      <c r="R660" s="123"/>
    </row>
    <row r="661" ht="15.75" customHeight="1">
      <c r="I661" s="123"/>
      <c r="L661" s="123"/>
      <c r="P661" s="123"/>
      <c r="R661" s="123"/>
    </row>
    <row r="662" ht="15.75" customHeight="1">
      <c r="I662" s="123"/>
      <c r="L662" s="123"/>
      <c r="P662" s="123"/>
      <c r="R662" s="123"/>
    </row>
    <row r="663" ht="15.75" customHeight="1">
      <c r="I663" s="123"/>
      <c r="L663" s="123"/>
      <c r="P663" s="123"/>
      <c r="R663" s="123"/>
    </row>
    <row r="664" ht="15.75" customHeight="1">
      <c r="I664" s="123"/>
      <c r="L664" s="123"/>
      <c r="P664" s="123"/>
      <c r="R664" s="123"/>
    </row>
    <row r="665" ht="15.75" customHeight="1">
      <c r="I665" s="123"/>
      <c r="L665" s="123"/>
      <c r="P665" s="123"/>
      <c r="R665" s="123"/>
    </row>
    <row r="666" ht="15.75" customHeight="1">
      <c r="I666" s="123"/>
      <c r="L666" s="123"/>
      <c r="P666" s="123"/>
      <c r="R666" s="123"/>
    </row>
    <row r="667" ht="15.75" customHeight="1">
      <c r="I667" s="123"/>
      <c r="L667" s="123"/>
      <c r="P667" s="123"/>
      <c r="R667" s="123"/>
    </row>
    <row r="668" ht="15.75" customHeight="1">
      <c r="I668" s="123"/>
      <c r="L668" s="123"/>
      <c r="P668" s="123"/>
      <c r="R668" s="123"/>
    </row>
    <row r="669" ht="15.75" customHeight="1">
      <c r="I669" s="123"/>
      <c r="L669" s="123"/>
      <c r="P669" s="123"/>
      <c r="R669" s="123"/>
    </row>
    <row r="670" ht="15.75" customHeight="1">
      <c r="I670" s="123"/>
      <c r="L670" s="123"/>
      <c r="P670" s="123"/>
      <c r="R670" s="123"/>
    </row>
    <row r="671" ht="15.75" customHeight="1">
      <c r="I671" s="123"/>
      <c r="L671" s="123"/>
      <c r="P671" s="123"/>
      <c r="R671" s="123"/>
    </row>
    <row r="672" ht="15.75" customHeight="1">
      <c r="I672" s="123"/>
      <c r="L672" s="123"/>
      <c r="P672" s="123"/>
      <c r="R672" s="123"/>
    </row>
    <row r="673" ht="15.75" customHeight="1">
      <c r="I673" s="123"/>
      <c r="L673" s="123"/>
      <c r="P673" s="123"/>
      <c r="R673" s="123"/>
    </row>
    <row r="674" ht="15.75" customHeight="1">
      <c r="I674" s="123"/>
      <c r="L674" s="123"/>
      <c r="P674" s="123"/>
      <c r="R674" s="123"/>
    </row>
    <row r="675" ht="15.75" customHeight="1">
      <c r="I675" s="123"/>
      <c r="L675" s="123"/>
      <c r="P675" s="123"/>
      <c r="R675" s="123"/>
    </row>
    <row r="676" ht="15.75" customHeight="1">
      <c r="I676" s="123"/>
      <c r="L676" s="123"/>
      <c r="P676" s="123"/>
      <c r="R676" s="123"/>
    </row>
    <row r="677" ht="15.75" customHeight="1">
      <c r="I677" s="123"/>
      <c r="L677" s="123"/>
      <c r="P677" s="123"/>
      <c r="R677" s="123"/>
    </row>
    <row r="678" ht="15.75" customHeight="1">
      <c r="I678" s="123"/>
      <c r="L678" s="123"/>
      <c r="P678" s="123"/>
      <c r="R678" s="123"/>
    </row>
    <row r="679" ht="15.75" customHeight="1">
      <c r="I679" s="123"/>
      <c r="L679" s="123"/>
      <c r="P679" s="123"/>
      <c r="R679" s="123"/>
    </row>
    <row r="680" ht="15.75" customHeight="1">
      <c r="I680" s="123"/>
      <c r="L680" s="123"/>
      <c r="P680" s="123"/>
      <c r="R680" s="123"/>
    </row>
    <row r="681" ht="15.75" customHeight="1">
      <c r="I681" s="123"/>
      <c r="L681" s="123"/>
      <c r="P681" s="123"/>
      <c r="R681" s="123"/>
    </row>
    <row r="682" ht="15.75" customHeight="1">
      <c r="I682" s="123"/>
      <c r="L682" s="123"/>
      <c r="P682" s="123"/>
      <c r="R682" s="123"/>
    </row>
    <row r="683" ht="15.75" customHeight="1">
      <c r="I683" s="123"/>
      <c r="L683" s="123"/>
      <c r="P683" s="123"/>
      <c r="R683" s="123"/>
    </row>
    <row r="684" ht="15.75" customHeight="1">
      <c r="I684" s="123"/>
      <c r="L684" s="123"/>
      <c r="P684" s="123"/>
      <c r="R684" s="123"/>
    </row>
    <row r="685" ht="15.75" customHeight="1">
      <c r="I685" s="123"/>
      <c r="L685" s="123"/>
      <c r="P685" s="123"/>
      <c r="R685" s="123"/>
    </row>
    <row r="686" ht="15.75" customHeight="1">
      <c r="I686" s="123"/>
      <c r="L686" s="123"/>
      <c r="P686" s="123"/>
      <c r="R686" s="123"/>
    </row>
    <row r="687" ht="15.75" customHeight="1">
      <c r="I687" s="123"/>
      <c r="L687" s="123"/>
      <c r="P687" s="123"/>
      <c r="R687" s="123"/>
    </row>
    <row r="688" ht="15.75" customHeight="1">
      <c r="I688" s="123"/>
      <c r="L688" s="123"/>
      <c r="P688" s="123"/>
      <c r="R688" s="123"/>
    </row>
    <row r="689" ht="15.75" customHeight="1">
      <c r="I689" s="123"/>
      <c r="L689" s="123"/>
      <c r="P689" s="123"/>
      <c r="R689" s="123"/>
    </row>
    <row r="690" ht="15.75" customHeight="1">
      <c r="I690" s="123"/>
      <c r="L690" s="123"/>
      <c r="P690" s="123"/>
      <c r="R690" s="123"/>
    </row>
    <row r="691" ht="15.75" customHeight="1">
      <c r="I691" s="123"/>
      <c r="L691" s="123"/>
      <c r="P691" s="123"/>
      <c r="R691" s="123"/>
    </row>
    <row r="692" ht="15.75" customHeight="1">
      <c r="I692" s="123"/>
      <c r="L692" s="123"/>
      <c r="P692" s="123"/>
      <c r="R692" s="123"/>
    </row>
    <row r="693" ht="15.75" customHeight="1">
      <c r="I693" s="123"/>
      <c r="L693" s="123"/>
      <c r="P693" s="123"/>
      <c r="R693" s="123"/>
    </row>
    <row r="694" ht="15.75" customHeight="1">
      <c r="I694" s="123"/>
      <c r="L694" s="123"/>
      <c r="P694" s="123"/>
      <c r="R694" s="123"/>
    </row>
    <row r="695" ht="15.75" customHeight="1">
      <c r="I695" s="123"/>
      <c r="L695" s="123"/>
      <c r="P695" s="123"/>
      <c r="R695" s="123"/>
    </row>
    <row r="696" ht="15.75" customHeight="1">
      <c r="I696" s="123"/>
      <c r="L696" s="123"/>
      <c r="P696" s="123"/>
      <c r="R696" s="123"/>
    </row>
    <row r="697" ht="15.75" customHeight="1">
      <c r="I697" s="123"/>
      <c r="L697" s="123"/>
      <c r="P697" s="123"/>
      <c r="R697" s="123"/>
    </row>
    <row r="698" ht="15.75" customHeight="1">
      <c r="I698" s="123"/>
      <c r="L698" s="123"/>
      <c r="P698" s="123"/>
      <c r="R698" s="123"/>
    </row>
    <row r="699" ht="15.75" customHeight="1">
      <c r="I699" s="123"/>
      <c r="L699" s="123"/>
      <c r="P699" s="123"/>
      <c r="R699" s="123"/>
    </row>
    <row r="700" ht="15.75" customHeight="1">
      <c r="I700" s="123"/>
      <c r="L700" s="123"/>
      <c r="P700" s="123"/>
      <c r="R700" s="123"/>
    </row>
    <row r="701" ht="15.75" customHeight="1">
      <c r="I701" s="123"/>
      <c r="L701" s="123"/>
      <c r="P701" s="123"/>
      <c r="R701" s="123"/>
    </row>
    <row r="702" ht="15.75" customHeight="1">
      <c r="I702" s="123"/>
      <c r="L702" s="123"/>
      <c r="P702" s="123"/>
      <c r="R702" s="123"/>
    </row>
    <row r="703" ht="15.75" customHeight="1">
      <c r="I703" s="123"/>
      <c r="L703" s="123"/>
      <c r="P703" s="123"/>
      <c r="R703" s="123"/>
    </row>
    <row r="704" ht="15.75" customHeight="1">
      <c r="I704" s="123"/>
      <c r="L704" s="123"/>
      <c r="P704" s="123"/>
      <c r="R704" s="123"/>
    </row>
    <row r="705" ht="15.75" customHeight="1">
      <c r="I705" s="123"/>
      <c r="L705" s="123"/>
      <c r="P705" s="123"/>
      <c r="R705" s="123"/>
    </row>
    <row r="706" ht="15.75" customHeight="1">
      <c r="I706" s="123"/>
      <c r="L706" s="123"/>
      <c r="P706" s="123"/>
      <c r="R706" s="123"/>
    </row>
    <row r="707" ht="15.75" customHeight="1">
      <c r="I707" s="123"/>
      <c r="L707" s="123"/>
      <c r="P707" s="123"/>
      <c r="R707" s="123"/>
    </row>
    <row r="708" ht="15.75" customHeight="1">
      <c r="I708" s="123"/>
      <c r="L708" s="123"/>
      <c r="P708" s="123"/>
      <c r="R708" s="123"/>
    </row>
    <row r="709" ht="15.75" customHeight="1">
      <c r="I709" s="123"/>
      <c r="L709" s="123"/>
      <c r="P709" s="123"/>
      <c r="R709" s="123"/>
    </row>
    <row r="710" ht="15.75" customHeight="1">
      <c r="I710" s="123"/>
      <c r="L710" s="123"/>
      <c r="P710" s="123"/>
      <c r="R710" s="123"/>
    </row>
    <row r="711" ht="15.75" customHeight="1">
      <c r="I711" s="123"/>
      <c r="L711" s="123"/>
      <c r="P711" s="123"/>
      <c r="R711" s="123"/>
    </row>
    <row r="712" ht="15.75" customHeight="1">
      <c r="I712" s="123"/>
      <c r="L712" s="123"/>
      <c r="P712" s="123"/>
      <c r="R712" s="123"/>
    </row>
    <row r="713" ht="15.75" customHeight="1">
      <c r="I713" s="123"/>
      <c r="L713" s="123"/>
      <c r="P713" s="123"/>
      <c r="R713" s="123"/>
    </row>
    <row r="714" ht="15.75" customHeight="1">
      <c r="I714" s="123"/>
      <c r="L714" s="123"/>
      <c r="P714" s="123"/>
      <c r="R714" s="123"/>
    </row>
    <row r="715" ht="15.75" customHeight="1">
      <c r="I715" s="123"/>
      <c r="L715" s="123"/>
      <c r="P715" s="123"/>
      <c r="R715" s="123"/>
    </row>
    <row r="716" ht="15.75" customHeight="1">
      <c r="I716" s="123"/>
      <c r="L716" s="123"/>
      <c r="P716" s="123"/>
      <c r="R716" s="123"/>
    </row>
    <row r="717" ht="15.75" customHeight="1">
      <c r="I717" s="123"/>
      <c r="L717" s="123"/>
      <c r="P717" s="123"/>
      <c r="R717" s="123"/>
    </row>
    <row r="718" ht="15.75" customHeight="1">
      <c r="I718" s="123"/>
      <c r="L718" s="123"/>
      <c r="P718" s="123"/>
      <c r="R718" s="123"/>
    </row>
    <row r="719" ht="15.75" customHeight="1">
      <c r="I719" s="123"/>
      <c r="L719" s="123"/>
      <c r="P719" s="123"/>
      <c r="R719" s="123"/>
    </row>
    <row r="720" ht="15.75" customHeight="1">
      <c r="I720" s="123"/>
      <c r="L720" s="123"/>
      <c r="P720" s="123"/>
      <c r="R720" s="123"/>
    </row>
    <row r="721" ht="15.75" customHeight="1">
      <c r="I721" s="123"/>
      <c r="L721" s="123"/>
      <c r="P721" s="123"/>
      <c r="R721" s="123"/>
    </row>
    <row r="722" ht="15.75" customHeight="1">
      <c r="I722" s="123"/>
      <c r="L722" s="123"/>
      <c r="P722" s="123"/>
      <c r="R722" s="123"/>
    </row>
    <row r="723" ht="15.75" customHeight="1">
      <c r="I723" s="123"/>
      <c r="L723" s="123"/>
      <c r="P723" s="123"/>
      <c r="R723" s="123"/>
    </row>
    <row r="724" ht="15.75" customHeight="1">
      <c r="I724" s="123"/>
      <c r="L724" s="123"/>
      <c r="P724" s="123"/>
      <c r="R724" s="123"/>
    </row>
    <row r="725" ht="15.75" customHeight="1">
      <c r="I725" s="123"/>
      <c r="L725" s="123"/>
      <c r="P725" s="123"/>
      <c r="R725" s="123"/>
    </row>
    <row r="726" ht="15.75" customHeight="1">
      <c r="I726" s="123"/>
      <c r="L726" s="123"/>
      <c r="P726" s="123"/>
      <c r="R726" s="123"/>
    </row>
    <row r="727" ht="15.75" customHeight="1">
      <c r="I727" s="123"/>
      <c r="L727" s="123"/>
      <c r="P727" s="123"/>
      <c r="R727" s="123"/>
    </row>
    <row r="728" ht="15.75" customHeight="1">
      <c r="I728" s="123"/>
      <c r="L728" s="123"/>
      <c r="P728" s="123"/>
      <c r="R728" s="123"/>
    </row>
    <row r="729" ht="15.75" customHeight="1">
      <c r="I729" s="123"/>
      <c r="L729" s="123"/>
      <c r="P729" s="123"/>
      <c r="R729" s="123"/>
    </row>
    <row r="730" ht="15.75" customHeight="1">
      <c r="I730" s="123"/>
      <c r="L730" s="123"/>
      <c r="P730" s="123"/>
      <c r="R730" s="123"/>
    </row>
    <row r="731" ht="15.75" customHeight="1">
      <c r="I731" s="123"/>
      <c r="L731" s="123"/>
      <c r="P731" s="123"/>
      <c r="R731" s="123"/>
    </row>
    <row r="732" ht="15.75" customHeight="1">
      <c r="I732" s="123"/>
      <c r="L732" s="123"/>
      <c r="P732" s="123"/>
      <c r="R732" s="123"/>
    </row>
    <row r="733" ht="15.75" customHeight="1">
      <c r="I733" s="123"/>
      <c r="L733" s="123"/>
      <c r="P733" s="123"/>
      <c r="R733" s="123"/>
    </row>
    <row r="734" ht="15.75" customHeight="1">
      <c r="I734" s="123"/>
      <c r="L734" s="123"/>
      <c r="P734" s="123"/>
      <c r="R734" s="123"/>
    </row>
    <row r="735" ht="15.75" customHeight="1">
      <c r="I735" s="123"/>
      <c r="L735" s="123"/>
      <c r="P735" s="123"/>
      <c r="R735" s="123"/>
    </row>
    <row r="736" ht="15.75" customHeight="1">
      <c r="I736" s="123"/>
      <c r="L736" s="123"/>
      <c r="P736" s="123"/>
      <c r="R736" s="123"/>
    </row>
    <row r="737" ht="15.75" customHeight="1">
      <c r="I737" s="123"/>
      <c r="L737" s="123"/>
      <c r="P737" s="123"/>
      <c r="R737" s="123"/>
    </row>
    <row r="738" ht="15.75" customHeight="1">
      <c r="I738" s="123"/>
      <c r="L738" s="123"/>
      <c r="P738" s="123"/>
      <c r="R738" s="123"/>
    </row>
    <row r="739" ht="15.75" customHeight="1">
      <c r="I739" s="123"/>
      <c r="L739" s="123"/>
      <c r="P739" s="123"/>
      <c r="R739" s="123"/>
    </row>
    <row r="740" ht="15.75" customHeight="1">
      <c r="I740" s="123"/>
      <c r="L740" s="123"/>
      <c r="P740" s="123"/>
      <c r="R740" s="123"/>
    </row>
    <row r="741" ht="15.75" customHeight="1">
      <c r="I741" s="123"/>
      <c r="L741" s="123"/>
      <c r="P741" s="123"/>
      <c r="R741" s="123"/>
    </row>
    <row r="742" ht="15.75" customHeight="1">
      <c r="I742" s="123"/>
      <c r="L742" s="123"/>
      <c r="P742" s="123"/>
      <c r="R742" s="123"/>
    </row>
    <row r="743" ht="15.75" customHeight="1">
      <c r="I743" s="123"/>
      <c r="L743" s="123"/>
      <c r="P743" s="123"/>
      <c r="R743" s="123"/>
    </row>
    <row r="744" ht="15.75" customHeight="1">
      <c r="I744" s="123"/>
      <c r="L744" s="123"/>
      <c r="P744" s="123"/>
      <c r="R744" s="123"/>
    </row>
    <row r="745" ht="15.75" customHeight="1">
      <c r="I745" s="123"/>
      <c r="L745" s="123"/>
      <c r="P745" s="123"/>
      <c r="R745" s="123"/>
    </row>
    <row r="746" ht="15.75" customHeight="1">
      <c r="I746" s="123"/>
      <c r="L746" s="123"/>
      <c r="P746" s="123"/>
      <c r="R746" s="123"/>
    </row>
    <row r="747" ht="15.75" customHeight="1">
      <c r="I747" s="123"/>
      <c r="L747" s="123"/>
      <c r="P747" s="123"/>
      <c r="R747" s="123"/>
    </row>
    <row r="748" ht="15.75" customHeight="1">
      <c r="I748" s="123"/>
      <c r="L748" s="123"/>
      <c r="P748" s="123"/>
      <c r="R748" s="123"/>
    </row>
    <row r="749" ht="15.75" customHeight="1">
      <c r="I749" s="123"/>
      <c r="L749" s="123"/>
      <c r="P749" s="123"/>
      <c r="R749" s="123"/>
    </row>
    <row r="750" ht="15.75" customHeight="1">
      <c r="I750" s="123"/>
      <c r="L750" s="123"/>
      <c r="P750" s="123"/>
      <c r="R750" s="123"/>
    </row>
    <row r="751" ht="15.75" customHeight="1">
      <c r="I751" s="123"/>
      <c r="L751" s="123"/>
      <c r="P751" s="123"/>
      <c r="R751" s="123"/>
    </row>
    <row r="752" ht="15.75" customHeight="1">
      <c r="I752" s="123"/>
      <c r="L752" s="123"/>
      <c r="P752" s="123"/>
      <c r="R752" s="123"/>
    </row>
    <row r="753" ht="15.75" customHeight="1">
      <c r="I753" s="123"/>
      <c r="L753" s="123"/>
      <c r="P753" s="123"/>
      <c r="R753" s="123"/>
    </row>
    <row r="754" ht="15.75" customHeight="1">
      <c r="I754" s="123"/>
      <c r="L754" s="123"/>
      <c r="P754" s="123"/>
      <c r="R754" s="123"/>
    </row>
    <row r="755" ht="15.75" customHeight="1">
      <c r="I755" s="123"/>
      <c r="L755" s="123"/>
      <c r="P755" s="123"/>
      <c r="R755" s="123"/>
    </row>
    <row r="756" ht="15.75" customHeight="1">
      <c r="I756" s="123"/>
      <c r="L756" s="123"/>
      <c r="P756" s="123"/>
      <c r="R756" s="123"/>
    </row>
    <row r="757" ht="15.75" customHeight="1">
      <c r="I757" s="123"/>
      <c r="L757" s="123"/>
      <c r="P757" s="123"/>
      <c r="R757" s="123"/>
    </row>
    <row r="758" ht="15.75" customHeight="1">
      <c r="I758" s="123"/>
      <c r="L758" s="123"/>
      <c r="P758" s="123"/>
      <c r="R758" s="123"/>
    </row>
    <row r="759" ht="15.75" customHeight="1">
      <c r="I759" s="123"/>
      <c r="L759" s="123"/>
      <c r="P759" s="123"/>
      <c r="R759" s="123"/>
    </row>
    <row r="760" ht="15.75" customHeight="1">
      <c r="I760" s="123"/>
      <c r="L760" s="123"/>
      <c r="P760" s="123"/>
      <c r="R760" s="123"/>
    </row>
    <row r="761" ht="15.75" customHeight="1">
      <c r="I761" s="123"/>
      <c r="L761" s="123"/>
      <c r="P761" s="123"/>
      <c r="R761" s="123"/>
    </row>
    <row r="762" ht="15.75" customHeight="1">
      <c r="I762" s="123"/>
      <c r="L762" s="123"/>
      <c r="P762" s="123"/>
      <c r="R762" s="123"/>
    </row>
    <row r="763" ht="15.75" customHeight="1">
      <c r="I763" s="123"/>
      <c r="L763" s="123"/>
      <c r="P763" s="123"/>
      <c r="R763" s="123"/>
    </row>
    <row r="764" ht="15.75" customHeight="1">
      <c r="I764" s="123"/>
      <c r="L764" s="123"/>
      <c r="P764" s="123"/>
      <c r="R764" s="123"/>
    </row>
    <row r="765" ht="15.75" customHeight="1">
      <c r="I765" s="123"/>
      <c r="L765" s="123"/>
      <c r="P765" s="123"/>
      <c r="R765" s="123"/>
    </row>
    <row r="766" ht="15.75" customHeight="1">
      <c r="I766" s="123"/>
      <c r="L766" s="123"/>
      <c r="P766" s="123"/>
      <c r="R766" s="123"/>
    </row>
    <row r="767" ht="15.75" customHeight="1">
      <c r="I767" s="123"/>
      <c r="L767" s="123"/>
      <c r="P767" s="123"/>
      <c r="R767" s="123"/>
    </row>
    <row r="768" ht="15.75" customHeight="1">
      <c r="I768" s="123"/>
      <c r="L768" s="123"/>
      <c r="P768" s="123"/>
      <c r="R768" s="123"/>
    </row>
    <row r="769" ht="15.75" customHeight="1">
      <c r="I769" s="123"/>
      <c r="L769" s="123"/>
      <c r="P769" s="123"/>
      <c r="R769" s="123"/>
    </row>
    <row r="770" ht="15.75" customHeight="1">
      <c r="I770" s="123"/>
      <c r="L770" s="123"/>
      <c r="P770" s="123"/>
      <c r="R770" s="123"/>
    </row>
    <row r="771" ht="15.75" customHeight="1">
      <c r="I771" s="123"/>
      <c r="L771" s="123"/>
      <c r="P771" s="123"/>
      <c r="R771" s="123"/>
    </row>
    <row r="772" ht="15.75" customHeight="1">
      <c r="I772" s="123"/>
      <c r="L772" s="123"/>
      <c r="P772" s="123"/>
      <c r="R772" s="123"/>
    </row>
    <row r="773" ht="15.75" customHeight="1">
      <c r="I773" s="123"/>
      <c r="L773" s="123"/>
      <c r="P773" s="123"/>
      <c r="R773" s="123"/>
    </row>
    <row r="774" ht="15.75" customHeight="1">
      <c r="I774" s="123"/>
      <c r="L774" s="123"/>
      <c r="P774" s="123"/>
      <c r="R774" s="123"/>
    </row>
    <row r="775" ht="15.75" customHeight="1">
      <c r="I775" s="123"/>
      <c r="L775" s="123"/>
      <c r="P775" s="123"/>
      <c r="R775" s="123"/>
    </row>
    <row r="776" ht="15.75" customHeight="1">
      <c r="I776" s="123"/>
      <c r="L776" s="123"/>
      <c r="P776" s="123"/>
      <c r="R776" s="123"/>
    </row>
    <row r="777" ht="15.75" customHeight="1">
      <c r="I777" s="123"/>
      <c r="L777" s="123"/>
      <c r="P777" s="123"/>
      <c r="R777" s="123"/>
    </row>
    <row r="778" ht="15.75" customHeight="1">
      <c r="I778" s="123"/>
      <c r="L778" s="123"/>
      <c r="P778" s="123"/>
      <c r="R778" s="123"/>
    </row>
    <row r="779" ht="15.75" customHeight="1">
      <c r="I779" s="123"/>
      <c r="L779" s="123"/>
      <c r="P779" s="123"/>
      <c r="R779" s="123"/>
    </row>
    <row r="780" ht="15.75" customHeight="1">
      <c r="I780" s="123"/>
      <c r="L780" s="123"/>
      <c r="P780" s="123"/>
      <c r="R780" s="123"/>
    </row>
    <row r="781" ht="15.75" customHeight="1">
      <c r="I781" s="123"/>
      <c r="L781" s="123"/>
      <c r="P781" s="123"/>
      <c r="R781" s="123"/>
    </row>
    <row r="782" ht="15.75" customHeight="1">
      <c r="I782" s="123"/>
      <c r="L782" s="123"/>
      <c r="P782" s="123"/>
      <c r="R782" s="123"/>
    </row>
    <row r="783" ht="15.75" customHeight="1">
      <c r="I783" s="123"/>
      <c r="L783" s="123"/>
      <c r="P783" s="123"/>
      <c r="R783" s="123"/>
    </row>
    <row r="784" ht="15.75" customHeight="1">
      <c r="I784" s="123"/>
      <c r="L784" s="123"/>
      <c r="P784" s="123"/>
      <c r="R784" s="123"/>
    </row>
    <row r="785" ht="15.75" customHeight="1">
      <c r="I785" s="123"/>
      <c r="L785" s="123"/>
      <c r="P785" s="123"/>
      <c r="R785" s="123"/>
    </row>
    <row r="786" ht="15.75" customHeight="1">
      <c r="I786" s="123"/>
      <c r="L786" s="123"/>
      <c r="P786" s="123"/>
      <c r="R786" s="123"/>
    </row>
    <row r="787" ht="15.75" customHeight="1">
      <c r="I787" s="123"/>
      <c r="L787" s="123"/>
      <c r="P787" s="123"/>
      <c r="R787" s="123"/>
    </row>
    <row r="788" ht="15.75" customHeight="1">
      <c r="I788" s="123"/>
      <c r="L788" s="123"/>
      <c r="P788" s="123"/>
      <c r="R788" s="123"/>
    </row>
    <row r="789" ht="15.75" customHeight="1">
      <c r="I789" s="123"/>
      <c r="L789" s="123"/>
      <c r="P789" s="123"/>
      <c r="R789" s="123"/>
    </row>
    <row r="790" ht="15.75" customHeight="1">
      <c r="I790" s="123"/>
      <c r="L790" s="123"/>
      <c r="P790" s="123"/>
      <c r="R790" s="123"/>
    </row>
    <row r="791" ht="15.75" customHeight="1">
      <c r="I791" s="123"/>
      <c r="L791" s="123"/>
      <c r="P791" s="123"/>
      <c r="R791" s="123"/>
    </row>
    <row r="792" ht="15.75" customHeight="1">
      <c r="I792" s="123"/>
      <c r="L792" s="123"/>
      <c r="P792" s="123"/>
      <c r="R792" s="123"/>
    </row>
    <row r="793" ht="15.75" customHeight="1">
      <c r="I793" s="123"/>
      <c r="L793" s="123"/>
      <c r="P793" s="123"/>
      <c r="R793" s="123"/>
    </row>
    <row r="794" ht="15.75" customHeight="1">
      <c r="I794" s="123"/>
      <c r="L794" s="123"/>
      <c r="P794" s="123"/>
      <c r="R794" s="123"/>
    </row>
    <row r="795" ht="15.75" customHeight="1">
      <c r="I795" s="123"/>
      <c r="L795" s="123"/>
      <c r="P795" s="123"/>
      <c r="R795" s="123"/>
    </row>
    <row r="796" ht="15.75" customHeight="1">
      <c r="I796" s="123"/>
      <c r="L796" s="123"/>
      <c r="P796" s="123"/>
      <c r="R796" s="123"/>
    </row>
    <row r="797" ht="15.75" customHeight="1">
      <c r="I797" s="123"/>
      <c r="L797" s="123"/>
      <c r="P797" s="123"/>
      <c r="R797" s="123"/>
    </row>
    <row r="798" ht="15.75" customHeight="1">
      <c r="I798" s="123"/>
      <c r="L798" s="123"/>
      <c r="P798" s="123"/>
      <c r="R798" s="123"/>
    </row>
    <row r="799" ht="15.75" customHeight="1">
      <c r="I799" s="123"/>
      <c r="L799" s="123"/>
      <c r="P799" s="123"/>
      <c r="R799" s="123"/>
    </row>
    <row r="800" ht="15.75" customHeight="1">
      <c r="I800" s="123"/>
      <c r="L800" s="123"/>
      <c r="P800" s="123"/>
      <c r="R800" s="123"/>
    </row>
    <row r="801" ht="15.75" customHeight="1">
      <c r="I801" s="123"/>
      <c r="L801" s="123"/>
      <c r="P801" s="123"/>
      <c r="R801" s="123"/>
    </row>
    <row r="802" ht="15.75" customHeight="1">
      <c r="I802" s="123"/>
      <c r="L802" s="123"/>
      <c r="P802" s="123"/>
      <c r="R802" s="123"/>
    </row>
    <row r="803" ht="15.75" customHeight="1">
      <c r="I803" s="123"/>
      <c r="L803" s="123"/>
      <c r="P803" s="123"/>
      <c r="R803" s="123"/>
    </row>
    <row r="804" ht="15.75" customHeight="1">
      <c r="I804" s="123"/>
      <c r="L804" s="123"/>
      <c r="P804" s="123"/>
      <c r="R804" s="123"/>
    </row>
    <row r="805" ht="15.75" customHeight="1">
      <c r="I805" s="123"/>
      <c r="L805" s="123"/>
      <c r="P805" s="123"/>
      <c r="R805" s="123"/>
    </row>
    <row r="806" ht="15.75" customHeight="1">
      <c r="I806" s="123"/>
      <c r="L806" s="123"/>
      <c r="P806" s="123"/>
      <c r="R806" s="123"/>
    </row>
    <row r="807" ht="15.75" customHeight="1">
      <c r="I807" s="123"/>
      <c r="L807" s="123"/>
      <c r="P807" s="123"/>
      <c r="R807" s="123"/>
    </row>
    <row r="808" ht="15.75" customHeight="1">
      <c r="I808" s="123"/>
      <c r="L808" s="123"/>
      <c r="P808" s="123"/>
      <c r="R808" s="123"/>
    </row>
    <row r="809" ht="15.75" customHeight="1">
      <c r="I809" s="123"/>
      <c r="L809" s="123"/>
      <c r="P809" s="123"/>
      <c r="R809" s="123"/>
    </row>
    <row r="810" ht="15.75" customHeight="1">
      <c r="I810" s="123"/>
      <c r="L810" s="123"/>
      <c r="P810" s="123"/>
      <c r="R810" s="123"/>
    </row>
    <row r="811" ht="15.75" customHeight="1">
      <c r="I811" s="123"/>
      <c r="L811" s="123"/>
      <c r="P811" s="123"/>
      <c r="R811" s="123"/>
    </row>
    <row r="812" ht="15.75" customHeight="1">
      <c r="I812" s="123"/>
      <c r="L812" s="123"/>
      <c r="P812" s="123"/>
      <c r="R812" s="123"/>
    </row>
    <row r="813" ht="15.75" customHeight="1">
      <c r="I813" s="123"/>
      <c r="L813" s="123"/>
      <c r="P813" s="123"/>
      <c r="R813" s="123"/>
    </row>
    <row r="814" ht="15.75" customHeight="1">
      <c r="I814" s="123"/>
      <c r="L814" s="123"/>
      <c r="P814" s="123"/>
      <c r="R814" s="123"/>
    </row>
    <row r="815" ht="15.75" customHeight="1">
      <c r="I815" s="123"/>
      <c r="L815" s="123"/>
      <c r="P815" s="123"/>
      <c r="R815" s="123"/>
    </row>
    <row r="816" ht="15.75" customHeight="1">
      <c r="I816" s="123"/>
      <c r="L816" s="123"/>
      <c r="P816" s="123"/>
      <c r="R816" s="123"/>
    </row>
    <row r="817" ht="15.75" customHeight="1">
      <c r="I817" s="123"/>
      <c r="L817" s="123"/>
      <c r="P817" s="123"/>
      <c r="R817" s="123"/>
    </row>
    <row r="818" ht="15.75" customHeight="1">
      <c r="I818" s="123"/>
      <c r="L818" s="123"/>
      <c r="P818" s="123"/>
      <c r="R818" s="123"/>
    </row>
    <row r="819" ht="15.75" customHeight="1">
      <c r="I819" s="123"/>
      <c r="L819" s="123"/>
      <c r="P819" s="123"/>
      <c r="R819" s="123"/>
    </row>
    <row r="820" ht="15.75" customHeight="1">
      <c r="I820" s="123"/>
      <c r="L820" s="123"/>
      <c r="P820" s="123"/>
      <c r="R820" s="123"/>
    </row>
    <row r="821" ht="15.75" customHeight="1">
      <c r="I821" s="123"/>
      <c r="L821" s="123"/>
      <c r="P821" s="123"/>
      <c r="R821" s="123"/>
    </row>
    <row r="822" ht="15.75" customHeight="1">
      <c r="I822" s="123"/>
      <c r="L822" s="123"/>
      <c r="P822" s="123"/>
      <c r="R822" s="123"/>
    </row>
    <row r="823" ht="15.75" customHeight="1">
      <c r="I823" s="123"/>
      <c r="L823" s="123"/>
      <c r="P823" s="123"/>
      <c r="R823" s="123"/>
    </row>
    <row r="824" ht="15.75" customHeight="1">
      <c r="I824" s="123"/>
      <c r="L824" s="123"/>
      <c r="P824" s="123"/>
      <c r="R824" s="123"/>
    </row>
    <row r="825" ht="15.75" customHeight="1">
      <c r="I825" s="123"/>
      <c r="L825" s="123"/>
      <c r="P825" s="123"/>
      <c r="R825" s="123"/>
    </row>
    <row r="826" ht="15.75" customHeight="1">
      <c r="I826" s="123"/>
      <c r="L826" s="123"/>
      <c r="P826" s="123"/>
      <c r="R826" s="123"/>
    </row>
    <row r="827" ht="15.75" customHeight="1">
      <c r="I827" s="123"/>
      <c r="L827" s="123"/>
      <c r="P827" s="123"/>
      <c r="R827" s="123"/>
    </row>
    <row r="828" ht="15.75" customHeight="1">
      <c r="I828" s="123"/>
      <c r="L828" s="123"/>
      <c r="P828" s="123"/>
      <c r="R828" s="123"/>
    </row>
    <row r="829" ht="15.75" customHeight="1">
      <c r="I829" s="123"/>
      <c r="L829" s="123"/>
      <c r="P829" s="123"/>
      <c r="R829" s="123"/>
    </row>
    <row r="830" ht="15.75" customHeight="1">
      <c r="I830" s="123"/>
      <c r="L830" s="123"/>
      <c r="P830" s="123"/>
      <c r="R830" s="123"/>
    </row>
    <row r="831" ht="15.75" customHeight="1">
      <c r="I831" s="123"/>
      <c r="L831" s="123"/>
      <c r="P831" s="123"/>
      <c r="R831" s="123"/>
    </row>
    <row r="832" ht="15.75" customHeight="1">
      <c r="I832" s="123"/>
      <c r="L832" s="123"/>
      <c r="P832" s="123"/>
      <c r="R832" s="123"/>
    </row>
    <row r="833" ht="15.75" customHeight="1">
      <c r="I833" s="123"/>
      <c r="L833" s="123"/>
      <c r="P833" s="123"/>
      <c r="R833" s="123"/>
    </row>
    <row r="834" ht="15.75" customHeight="1">
      <c r="I834" s="123"/>
      <c r="L834" s="123"/>
      <c r="P834" s="123"/>
      <c r="R834" s="123"/>
    </row>
    <row r="835" ht="15.75" customHeight="1">
      <c r="I835" s="123"/>
      <c r="L835" s="123"/>
      <c r="P835" s="123"/>
      <c r="R835" s="123"/>
    </row>
    <row r="836" ht="15.75" customHeight="1">
      <c r="I836" s="123"/>
      <c r="L836" s="123"/>
      <c r="P836" s="123"/>
      <c r="R836" s="123"/>
    </row>
    <row r="837" ht="15.75" customHeight="1">
      <c r="I837" s="123"/>
      <c r="L837" s="123"/>
      <c r="P837" s="123"/>
      <c r="R837" s="123"/>
    </row>
    <row r="838" ht="15.75" customHeight="1">
      <c r="I838" s="123"/>
      <c r="L838" s="123"/>
      <c r="P838" s="123"/>
      <c r="R838" s="123"/>
    </row>
    <row r="839" ht="15.75" customHeight="1">
      <c r="I839" s="123"/>
      <c r="L839" s="123"/>
      <c r="P839" s="123"/>
      <c r="R839" s="123"/>
    </row>
    <row r="840" ht="15.75" customHeight="1">
      <c r="I840" s="123"/>
      <c r="L840" s="123"/>
      <c r="P840" s="123"/>
      <c r="R840" s="123"/>
    </row>
    <row r="841" ht="15.75" customHeight="1">
      <c r="I841" s="123"/>
      <c r="L841" s="123"/>
      <c r="P841" s="123"/>
      <c r="R841" s="123"/>
    </row>
    <row r="842" ht="15.75" customHeight="1">
      <c r="I842" s="123"/>
      <c r="L842" s="123"/>
      <c r="P842" s="123"/>
      <c r="R842" s="123"/>
    </row>
    <row r="843" ht="15.75" customHeight="1">
      <c r="I843" s="123"/>
      <c r="L843" s="123"/>
      <c r="P843" s="123"/>
      <c r="R843" s="123"/>
    </row>
    <row r="844" ht="15.75" customHeight="1">
      <c r="I844" s="123"/>
      <c r="L844" s="123"/>
      <c r="P844" s="123"/>
      <c r="R844" s="123"/>
    </row>
    <row r="845" ht="15.75" customHeight="1">
      <c r="I845" s="123"/>
      <c r="L845" s="123"/>
      <c r="P845" s="123"/>
      <c r="R845" s="123"/>
    </row>
    <row r="846" ht="15.75" customHeight="1">
      <c r="I846" s="123"/>
      <c r="L846" s="123"/>
      <c r="P846" s="123"/>
      <c r="R846" s="123"/>
    </row>
    <row r="847" ht="15.75" customHeight="1">
      <c r="I847" s="123"/>
      <c r="L847" s="123"/>
      <c r="P847" s="123"/>
      <c r="R847" s="123"/>
    </row>
    <row r="848" ht="15.75" customHeight="1">
      <c r="I848" s="123"/>
      <c r="L848" s="123"/>
      <c r="P848" s="123"/>
      <c r="R848" s="123"/>
    </row>
    <row r="849" ht="15.75" customHeight="1">
      <c r="I849" s="123"/>
      <c r="L849" s="123"/>
      <c r="P849" s="123"/>
      <c r="R849" s="123"/>
    </row>
    <row r="850" ht="15.75" customHeight="1">
      <c r="I850" s="123"/>
      <c r="L850" s="123"/>
      <c r="P850" s="123"/>
      <c r="R850" s="123"/>
    </row>
    <row r="851" ht="15.75" customHeight="1">
      <c r="I851" s="123"/>
      <c r="L851" s="123"/>
      <c r="P851" s="123"/>
      <c r="R851" s="123"/>
    </row>
    <row r="852" ht="15.75" customHeight="1">
      <c r="I852" s="123"/>
      <c r="L852" s="123"/>
      <c r="P852" s="123"/>
      <c r="R852" s="123"/>
    </row>
    <row r="853" ht="15.75" customHeight="1">
      <c r="I853" s="123"/>
      <c r="L853" s="123"/>
      <c r="P853" s="123"/>
      <c r="R853" s="123"/>
    </row>
    <row r="854" ht="15.75" customHeight="1">
      <c r="I854" s="123"/>
      <c r="L854" s="123"/>
      <c r="P854" s="123"/>
      <c r="R854" s="123"/>
    </row>
    <row r="855" ht="15.75" customHeight="1">
      <c r="I855" s="123"/>
      <c r="L855" s="123"/>
      <c r="P855" s="123"/>
      <c r="R855" s="123"/>
    </row>
    <row r="856" ht="15.75" customHeight="1">
      <c r="I856" s="123"/>
      <c r="L856" s="123"/>
      <c r="P856" s="123"/>
      <c r="R856" s="123"/>
    </row>
    <row r="857" ht="15.75" customHeight="1">
      <c r="I857" s="123"/>
      <c r="L857" s="123"/>
      <c r="P857" s="123"/>
      <c r="R857" s="123"/>
    </row>
    <row r="858" ht="15.75" customHeight="1">
      <c r="I858" s="123"/>
      <c r="L858" s="123"/>
      <c r="P858" s="123"/>
      <c r="R858" s="123"/>
    </row>
    <row r="859" ht="15.75" customHeight="1">
      <c r="I859" s="123"/>
      <c r="L859" s="123"/>
      <c r="P859" s="123"/>
      <c r="R859" s="123"/>
    </row>
    <row r="860" ht="15.75" customHeight="1">
      <c r="I860" s="123"/>
      <c r="L860" s="123"/>
      <c r="P860" s="123"/>
      <c r="R860" s="123"/>
    </row>
    <row r="861" ht="15.75" customHeight="1">
      <c r="I861" s="123"/>
      <c r="L861" s="123"/>
      <c r="P861" s="123"/>
      <c r="R861" s="123"/>
    </row>
    <row r="862" ht="15.75" customHeight="1">
      <c r="I862" s="123"/>
      <c r="L862" s="123"/>
      <c r="P862" s="123"/>
      <c r="R862" s="123"/>
    </row>
    <row r="863" ht="15.75" customHeight="1">
      <c r="I863" s="123"/>
      <c r="L863" s="123"/>
      <c r="P863" s="123"/>
      <c r="R863" s="123"/>
    </row>
    <row r="864" ht="15.75" customHeight="1">
      <c r="I864" s="123"/>
      <c r="L864" s="123"/>
      <c r="P864" s="123"/>
      <c r="R864" s="123"/>
    </row>
    <row r="865" ht="15.75" customHeight="1">
      <c r="I865" s="123"/>
      <c r="L865" s="123"/>
      <c r="P865" s="123"/>
      <c r="R865" s="123"/>
    </row>
    <row r="866" ht="15.75" customHeight="1">
      <c r="I866" s="123"/>
      <c r="L866" s="123"/>
      <c r="P866" s="123"/>
      <c r="R866" s="123"/>
    </row>
    <row r="867" ht="15.75" customHeight="1">
      <c r="I867" s="123"/>
      <c r="L867" s="123"/>
      <c r="P867" s="123"/>
      <c r="R867" s="123"/>
    </row>
    <row r="868" ht="15.75" customHeight="1">
      <c r="I868" s="123"/>
      <c r="L868" s="123"/>
      <c r="P868" s="123"/>
      <c r="R868" s="123"/>
    </row>
    <row r="869" ht="15.75" customHeight="1">
      <c r="I869" s="123"/>
      <c r="L869" s="123"/>
      <c r="P869" s="123"/>
      <c r="R869" s="123"/>
    </row>
    <row r="870" ht="15.75" customHeight="1">
      <c r="I870" s="123"/>
      <c r="L870" s="123"/>
      <c r="P870" s="123"/>
      <c r="R870" s="123"/>
    </row>
    <row r="871" ht="15.75" customHeight="1">
      <c r="I871" s="123"/>
      <c r="L871" s="123"/>
      <c r="P871" s="123"/>
      <c r="R871" s="123"/>
    </row>
    <row r="872" ht="15.75" customHeight="1">
      <c r="I872" s="123"/>
      <c r="L872" s="123"/>
      <c r="P872" s="123"/>
      <c r="R872" s="123"/>
    </row>
    <row r="873" ht="15.75" customHeight="1">
      <c r="I873" s="123"/>
      <c r="L873" s="123"/>
      <c r="P873" s="123"/>
      <c r="R873" s="123"/>
    </row>
    <row r="874" ht="15.75" customHeight="1">
      <c r="I874" s="123"/>
      <c r="L874" s="123"/>
      <c r="P874" s="123"/>
      <c r="R874" s="123"/>
    </row>
    <row r="875" ht="15.75" customHeight="1">
      <c r="I875" s="123"/>
      <c r="L875" s="123"/>
      <c r="P875" s="123"/>
      <c r="R875" s="123"/>
    </row>
    <row r="876" ht="15.75" customHeight="1">
      <c r="I876" s="123"/>
      <c r="L876" s="123"/>
      <c r="P876" s="123"/>
      <c r="R876" s="123"/>
    </row>
    <row r="877" ht="15.75" customHeight="1">
      <c r="I877" s="123"/>
      <c r="L877" s="123"/>
      <c r="P877" s="123"/>
      <c r="R877" s="123"/>
    </row>
    <row r="878" ht="15.75" customHeight="1">
      <c r="I878" s="123"/>
      <c r="L878" s="123"/>
      <c r="P878" s="123"/>
      <c r="R878" s="123"/>
    </row>
    <row r="879" ht="15.75" customHeight="1">
      <c r="I879" s="123"/>
      <c r="L879" s="123"/>
      <c r="P879" s="123"/>
      <c r="R879" s="123"/>
    </row>
    <row r="880" ht="15.75" customHeight="1">
      <c r="I880" s="123"/>
      <c r="L880" s="123"/>
      <c r="P880" s="123"/>
      <c r="R880" s="123"/>
    </row>
    <row r="881" ht="15.75" customHeight="1">
      <c r="I881" s="123"/>
      <c r="L881" s="123"/>
      <c r="P881" s="123"/>
      <c r="R881" s="123"/>
    </row>
    <row r="882" ht="15.75" customHeight="1">
      <c r="I882" s="123"/>
      <c r="L882" s="123"/>
      <c r="P882" s="123"/>
      <c r="R882" s="123"/>
    </row>
    <row r="883" ht="15.75" customHeight="1">
      <c r="I883" s="123"/>
      <c r="L883" s="123"/>
      <c r="P883" s="123"/>
      <c r="R883" s="123"/>
    </row>
    <row r="884" ht="15.75" customHeight="1">
      <c r="I884" s="123"/>
      <c r="L884" s="123"/>
      <c r="P884" s="123"/>
      <c r="R884" s="123"/>
    </row>
    <row r="885" ht="15.75" customHeight="1">
      <c r="I885" s="123"/>
      <c r="L885" s="123"/>
      <c r="P885" s="123"/>
      <c r="R885" s="123"/>
    </row>
    <row r="886" ht="15.75" customHeight="1">
      <c r="I886" s="123"/>
      <c r="L886" s="123"/>
      <c r="P886" s="123"/>
      <c r="R886" s="123"/>
    </row>
    <row r="887" ht="15.75" customHeight="1">
      <c r="I887" s="123"/>
      <c r="L887" s="123"/>
      <c r="P887" s="123"/>
      <c r="R887" s="123"/>
    </row>
    <row r="888" ht="15.75" customHeight="1">
      <c r="I888" s="123"/>
      <c r="L888" s="123"/>
      <c r="P888" s="123"/>
      <c r="R888" s="123"/>
    </row>
    <row r="889" ht="15.75" customHeight="1">
      <c r="I889" s="123"/>
      <c r="L889" s="123"/>
      <c r="P889" s="123"/>
      <c r="R889" s="123"/>
    </row>
    <row r="890" ht="15.75" customHeight="1">
      <c r="I890" s="123"/>
      <c r="L890" s="123"/>
      <c r="P890" s="123"/>
      <c r="R890" s="123"/>
    </row>
    <row r="891" ht="15.75" customHeight="1">
      <c r="I891" s="123"/>
      <c r="L891" s="123"/>
      <c r="P891" s="123"/>
      <c r="R891" s="123"/>
    </row>
    <row r="892" ht="15.75" customHeight="1">
      <c r="I892" s="123"/>
      <c r="L892" s="123"/>
      <c r="P892" s="123"/>
      <c r="R892" s="123"/>
    </row>
    <row r="893" ht="15.75" customHeight="1">
      <c r="I893" s="123"/>
      <c r="L893" s="123"/>
      <c r="P893" s="123"/>
      <c r="R893" s="123"/>
    </row>
    <row r="894" ht="15.75" customHeight="1">
      <c r="I894" s="123"/>
      <c r="L894" s="123"/>
      <c r="P894" s="123"/>
      <c r="R894" s="123"/>
    </row>
    <row r="895" ht="15.75" customHeight="1">
      <c r="I895" s="123"/>
      <c r="L895" s="123"/>
      <c r="P895" s="123"/>
      <c r="R895" s="123"/>
    </row>
    <row r="896" ht="15.75" customHeight="1">
      <c r="I896" s="123"/>
      <c r="L896" s="123"/>
      <c r="P896" s="123"/>
      <c r="R896" s="123"/>
    </row>
    <row r="897" ht="15.75" customHeight="1">
      <c r="I897" s="123"/>
      <c r="L897" s="123"/>
      <c r="P897" s="123"/>
      <c r="R897" s="123"/>
    </row>
    <row r="898" ht="15.75" customHeight="1">
      <c r="I898" s="123"/>
      <c r="L898" s="123"/>
      <c r="P898" s="123"/>
      <c r="R898" s="123"/>
    </row>
    <row r="899" ht="15.75" customHeight="1">
      <c r="I899" s="123"/>
      <c r="L899" s="123"/>
      <c r="P899" s="123"/>
      <c r="R899" s="123"/>
    </row>
    <row r="900" ht="15.75" customHeight="1">
      <c r="I900" s="123"/>
      <c r="L900" s="123"/>
      <c r="P900" s="123"/>
      <c r="R900" s="123"/>
    </row>
    <row r="901" ht="15.75" customHeight="1">
      <c r="I901" s="123"/>
      <c r="L901" s="123"/>
      <c r="P901" s="123"/>
      <c r="R901" s="123"/>
    </row>
    <row r="902" ht="15.75" customHeight="1">
      <c r="I902" s="123"/>
      <c r="L902" s="123"/>
      <c r="P902" s="123"/>
      <c r="R902" s="123"/>
    </row>
    <row r="903" ht="15.75" customHeight="1">
      <c r="I903" s="123"/>
      <c r="L903" s="123"/>
      <c r="P903" s="123"/>
      <c r="R903" s="123"/>
    </row>
    <row r="904" ht="15.75" customHeight="1">
      <c r="I904" s="123"/>
      <c r="L904" s="123"/>
      <c r="P904" s="123"/>
      <c r="R904" s="123"/>
    </row>
    <row r="905" ht="15.75" customHeight="1">
      <c r="I905" s="123"/>
      <c r="L905" s="123"/>
      <c r="P905" s="123"/>
      <c r="R905" s="123"/>
    </row>
    <row r="906" ht="15.75" customHeight="1">
      <c r="I906" s="123"/>
      <c r="L906" s="123"/>
      <c r="P906" s="123"/>
      <c r="R906" s="123"/>
    </row>
    <row r="907" ht="15.75" customHeight="1">
      <c r="I907" s="123"/>
      <c r="L907" s="123"/>
      <c r="P907" s="123"/>
      <c r="R907" s="123"/>
    </row>
    <row r="908" ht="15.75" customHeight="1">
      <c r="I908" s="123"/>
      <c r="L908" s="123"/>
      <c r="P908" s="123"/>
      <c r="R908" s="123"/>
    </row>
    <row r="909" ht="15.75" customHeight="1">
      <c r="I909" s="123"/>
      <c r="L909" s="123"/>
      <c r="P909" s="123"/>
      <c r="R909" s="123"/>
    </row>
    <row r="910" ht="15.75" customHeight="1">
      <c r="I910" s="123"/>
      <c r="L910" s="123"/>
      <c r="P910" s="123"/>
      <c r="R910" s="123"/>
    </row>
    <row r="911" ht="15.75" customHeight="1">
      <c r="I911" s="123"/>
      <c r="L911" s="123"/>
      <c r="P911" s="123"/>
      <c r="R911" s="123"/>
    </row>
    <row r="912" ht="15.75" customHeight="1">
      <c r="I912" s="123"/>
      <c r="L912" s="123"/>
      <c r="P912" s="123"/>
      <c r="R912" s="123"/>
    </row>
    <row r="913" ht="15.75" customHeight="1">
      <c r="I913" s="123"/>
      <c r="L913" s="123"/>
      <c r="P913" s="123"/>
      <c r="R913" s="123"/>
    </row>
    <row r="914" ht="15.75" customHeight="1">
      <c r="I914" s="123"/>
      <c r="L914" s="123"/>
      <c r="P914" s="123"/>
      <c r="R914" s="123"/>
    </row>
    <row r="915" ht="15.75" customHeight="1">
      <c r="I915" s="123"/>
      <c r="L915" s="123"/>
      <c r="P915" s="123"/>
      <c r="R915" s="123"/>
    </row>
    <row r="916" ht="15.75" customHeight="1">
      <c r="I916" s="123"/>
      <c r="L916" s="123"/>
      <c r="P916" s="123"/>
      <c r="R916" s="123"/>
    </row>
    <row r="917" ht="15.75" customHeight="1">
      <c r="I917" s="123"/>
      <c r="L917" s="123"/>
      <c r="P917" s="123"/>
      <c r="R917" s="123"/>
    </row>
    <row r="918" ht="15.75" customHeight="1">
      <c r="I918" s="123"/>
      <c r="L918" s="123"/>
      <c r="P918" s="123"/>
      <c r="R918" s="123"/>
    </row>
    <row r="919" ht="15.75" customHeight="1">
      <c r="I919" s="123"/>
      <c r="L919" s="123"/>
      <c r="P919" s="123"/>
      <c r="R919" s="123"/>
    </row>
    <row r="920" ht="15.75" customHeight="1">
      <c r="I920" s="123"/>
      <c r="L920" s="123"/>
      <c r="P920" s="123"/>
      <c r="R920" s="123"/>
    </row>
    <row r="921" ht="15.75" customHeight="1">
      <c r="I921" s="123"/>
      <c r="L921" s="123"/>
      <c r="P921" s="123"/>
      <c r="R921" s="123"/>
    </row>
    <row r="922" ht="15.75" customHeight="1">
      <c r="I922" s="123"/>
      <c r="L922" s="123"/>
      <c r="P922" s="123"/>
      <c r="R922" s="123"/>
    </row>
    <row r="923" ht="15.75" customHeight="1">
      <c r="I923" s="123"/>
      <c r="L923" s="123"/>
      <c r="P923" s="123"/>
      <c r="R923" s="123"/>
    </row>
    <row r="924" ht="15.75" customHeight="1">
      <c r="I924" s="123"/>
      <c r="L924" s="123"/>
      <c r="P924" s="123"/>
      <c r="R924" s="123"/>
    </row>
    <row r="925" ht="15.75" customHeight="1">
      <c r="I925" s="123"/>
      <c r="L925" s="123"/>
      <c r="P925" s="123"/>
      <c r="R925" s="123"/>
    </row>
    <row r="926" ht="15.75" customHeight="1">
      <c r="I926" s="123"/>
      <c r="L926" s="123"/>
      <c r="P926" s="123"/>
      <c r="R926" s="123"/>
    </row>
    <row r="927" ht="15.75" customHeight="1">
      <c r="I927" s="123"/>
      <c r="L927" s="123"/>
      <c r="P927" s="123"/>
      <c r="R927" s="123"/>
    </row>
    <row r="928" ht="15.75" customHeight="1">
      <c r="I928" s="123"/>
      <c r="L928" s="123"/>
      <c r="P928" s="123"/>
      <c r="R928" s="123"/>
    </row>
    <row r="929" ht="15.75" customHeight="1">
      <c r="I929" s="123"/>
      <c r="L929" s="123"/>
      <c r="P929" s="123"/>
      <c r="R929" s="123"/>
    </row>
    <row r="930" ht="15.75" customHeight="1">
      <c r="I930" s="123"/>
      <c r="L930" s="123"/>
      <c r="P930" s="123"/>
      <c r="R930" s="123"/>
    </row>
    <row r="931" ht="15.75" customHeight="1">
      <c r="I931" s="123"/>
      <c r="L931" s="123"/>
      <c r="P931" s="123"/>
      <c r="R931" s="123"/>
    </row>
    <row r="932" ht="15.75" customHeight="1">
      <c r="I932" s="123"/>
      <c r="L932" s="123"/>
      <c r="P932" s="123"/>
      <c r="R932" s="123"/>
    </row>
    <row r="933" ht="15.75" customHeight="1">
      <c r="I933" s="123"/>
      <c r="L933" s="123"/>
      <c r="P933" s="123"/>
      <c r="R933" s="123"/>
    </row>
    <row r="934" ht="15.75" customHeight="1">
      <c r="I934" s="123"/>
      <c r="L934" s="123"/>
      <c r="P934" s="123"/>
      <c r="R934" s="123"/>
    </row>
    <row r="935" ht="15.75" customHeight="1">
      <c r="I935" s="123"/>
      <c r="L935" s="123"/>
      <c r="P935" s="123"/>
      <c r="R935" s="123"/>
    </row>
    <row r="936" ht="15.75" customHeight="1">
      <c r="I936" s="123"/>
      <c r="L936" s="123"/>
      <c r="P936" s="123"/>
      <c r="R936" s="123"/>
    </row>
    <row r="937" ht="15.75" customHeight="1">
      <c r="I937" s="123"/>
      <c r="L937" s="123"/>
      <c r="P937" s="123"/>
      <c r="R937" s="123"/>
    </row>
    <row r="938" ht="15.75" customHeight="1">
      <c r="I938" s="123"/>
      <c r="L938" s="123"/>
      <c r="P938" s="123"/>
      <c r="R938" s="123"/>
    </row>
    <row r="939" ht="15.75" customHeight="1">
      <c r="I939" s="123"/>
      <c r="L939" s="123"/>
      <c r="P939" s="123"/>
      <c r="R939" s="123"/>
    </row>
    <row r="940" ht="15.75" customHeight="1">
      <c r="I940" s="123"/>
      <c r="L940" s="123"/>
      <c r="P940" s="123"/>
      <c r="R940" s="123"/>
    </row>
    <row r="941" ht="15.75" customHeight="1">
      <c r="I941" s="123"/>
      <c r="L941" s="123"/>
      <c r="P941" s="123"/>
      <c r="R941" s="123"/>
    </row>
    <row r="942" ht="15.75" customHeight="1">
      <c r="I942" s="123"/>
      <c r="L942" s="123"/>
      <c r="P942" s="123"/>
      <c r="R942" s="123"/>
    </row>
    <row r="943" ht="15.75" customHeight="1">
      <c r="I943" s="123"/>
      <c r="L943" s="123"/>
      <c r="P943" s="123"/>
      <c r="R943" s="123"/>
    </row>
    <row r="944" ht="15.75" customHeight="1">
      <c r="I944" s="123"/>
      <c r="L944" s="123"/>
      <c r="P944" s="123"/>
      <c r="R944" s="123"/>
    </row>
    <row r="945" ht="15.75" customHeight="1">
      <c r="I945" s="123"/>
      <c r="L945" s="123"/>
      <c r="P945" s="123"/>
      <c r="R945" s="123"/>
    </row>
    <row r="946" ht="15.75" customHeight="1">
      <c r="I946" s="123"/>
      <c r="L946" s="123"/>
      <c r="P946" s="123"/>
      <c r="R946" s="123"/>
    </row>
    <row r="947" ht="15.75" customHeight="1">
      <c r="I947" s="123"/>
      <c r="L947" s="123"/>
      <c r="P947" s="123"/>
      <c r="R947" s="123"/>
    </row>
    <row r="948" ht="15.75" customHeight="1">
      <c r="I948" s="123"/>
      <c r="L948" s="123"/>
      <c r="P948" s="123"/>
      <c r="R948" s="123"/>
    </row>
    <row r="949" ht="15.75" customHeight="1">
      <c r="I949" s="123"/>
      <c r="L949" s="123"/>
      <c r="P949" s="123"/>
      <c r="R949" s="123"/>
    </row>
    <row r="950" ht="15.75" customHeight="1">
      <c r="I950" s="123"/>
      <c r="L950" s="123"/>
      <c r="P950" s="123"/>
      <c r="R950" s="123"/>
    </row>
    <row r="951" ht="15.75" customHeight="1">
      <c r="I951" s="123"/>
      <c r="L951" s="123"/>
      <c r="P951" s="123"/>
      <c r="R951" s="123"/>
    </row>
    <row r="952" ht="15.75" customHeight="1">
      <c r="I952" s="123"/>
      <c r="L952" s="123"/>
      <c r="P952" s="123"/>
      <c r="R952" s="123"/>
    </row>
    <row r="953" ht="15.75" customHeight="1">
      <c r="I953" s="123"/>
      <c r="L953" s="123"/>
      <c r="P953" s="123"/>
      <c r="R953" s="123"/>
    </row>
    <row r="954" ht="15.75" customHeight="1">
      <c r="I954" s="123"/>
      <c r="L954" s="123"/>
      <c r="P954" s="123"/>
      <c r="R954" s="123"/>
    </row>
    <row r="955" ht="15.75" customHeight="1">
      <c r="I955" s="123"/>
      <c r="L955" s="123"/>
      <c r="P955" s="123"/>
      <c r="R955" s="123"/>
    </row>
    <row r="956" ht="15.75" customHeight="1">
      <c r="I956" s="123"/>
      <c r="L956" s="123"/>
      <c r="P956" s="123"/>
      <c r="R956" s="123"/>
    </row>
    <row r="957" ht="15.75" customHeight="1">
      <c r="I957" s="123"/>
      <c r="L957" s="123"/>
      <c r="P957" s="123"/>
      <c r="R957" s="123"/>
    </row>
    <row r="958" ht="15.75" customHeight="1">
      <c r="I958" s="123"/>
      <c r="L958" s="123"/>
      <c r="P958" s="123"/>
      <c r="R958" s="123"/>
    </row>
    <row r="959" ht="15.75" customHeight="1">
      <c r="I959" s="123"/>
      <c r="L959" s="123"/>
      <c r="P959" s="123"/>
      <c r="R959" s="123"/>
    </row>
    <row r="960" ht="15.75" customHeight="1">
      <c r="I960" s="123"/>
      <c r="L960" s="123"/>
      <c r="P960" s="123"/>
      <c r="R960" s="123"/>
    </row>
    <row r="961" ht="15.75" customHeight="1">
      <c r="I961" s="123"/>
      <c r="L961" s="123"/>
      <c r="P961" s="123"/>
      <c r="R961" s="123"/>
    </row>
    <row r="962" ht="15.75" customHeight="1">
      <c r="I962" s="123"/>
      <c r="L962" s="123"/>
      <c r="P962" s="123"/>
      <c r="R962" s="123"/>
    </row>
    <row r="963" ht="15.75" customHeight="1">
      <c r="I963" s="123"/>
      <c r="L963" s="123"/>
      <c r="P963" s="123"/>
      <c r="R963" s="123"/>
    </row>
    <row r="964" ht="15.75" customHeight="1">
      <c r="I964" s="123"/>
      <c r="L964" s="123"/>
      <c r="P964" s="123"/>
      <c r="R964" s="123"/>
    </row>
    <row r="965" ht="15.75" customHeight="1">
      <c r="I965" s="123"/>
      <c r="L965" s="123"/>
      <c r="P965" s="123"/>
      <c r="R965" s="123"/>
    </row>
    <row r="966" ht="15.75" customHeight="1">
      <c r="I966" s="123"/>
      <c r="L966" s="123"/>
      <c r="P966" s="123"/>
      <c r="R966" s="123"/>
    </row>
    <row r="967" ht="15.75" customHeight="1">
      <c r="I967" s="123"/>
      <c r="L967" s="123"/>
      <c r="P967" s="123"/>
      <c r="R967" s="123"/>
    </row>
    <row r="968" ht="15.75" customHeight="1">
      <c r="I968" s="123"/>
      <c r="L968" s="123"/>
      <c r="P968" s="123"/>
      <c r="R968" s="123"/>
    </row>
    <row r="969" ht="15.75" customHeight="1">
      <c r="I969" s="123"/>
      <c r="L969" s="123"/>
      <c r="P969" s="123"/>
      <c r="R969" s="123"/>
    </row>
    <row r="970" ht="15.75" customHeight="1">
      <c r="I970" s="123"/>
      <c r="L970" s="123"/>
      <c r="P970" s="123"/>
      <c r="R970" s="123"/>
    </row>
    <row r="971" ht="15.75" customHeight="1">
      <c r="I971" s="123"/>
      <c r="L971" s="123"/>
      <c r="P971" s="123"/>
      <c r="R971" s="123"/>
    </row>
    <row r="972" ht="15.75" customHeight="1">
      <c r="I972" s="123"/>
      <c r="L972" s="123"/>
      <c r="P972" s="123"/>
      <c r="R972" s="123"/>
    </row>
    <row r="973" ht="15.75" customHeight="1">
      <c r="I973" s="123"/>
      <c r="L973" s="123"/>
      <c r="P973" s="123"/>
      <c r="R973" s="123"/>
    </row>
    <row r="974" ht="15.75" customHeight="1">
      <c r="I974" s="123"/>
      <c r="L974" s="123"/>
      <c r="P974" s="123"/>
      <c r="R974" s="123"/>
    </row>
    <row r="975" ht="15.75" customHeight="1">
      <c r="I975" s="123"/>
      <c r="L975" s="123"/>
      <c r="P975" s="123"/>
      <c r="R975" s="123"/>
    </row>
    <row r="976" ht="15.75" customHeight="1">
      <c r="I976" s="123"/>
      <c r="L976" s="123"/>
      <c r="P976" s="123"/>
      <c r="R976" s="123"/>
    </row>
    <row r="977" ht="15.75" customHeight="1">
      <c r="I977" s="123"/>
      <c r="L977" s="123"/>
      <c r="P977" s="123"/>
      <c r="R977" s="123"/>
    </row>
    <row r="978" ht="15.75" customHeight="1">
      <c r="I978" s="123"/>
      <c r="L978" s="123"/>
      <c r="P978" s="123"/>
      <c r="R978" s="123"/>
    </row>
    <row r="979" ht="15.75" customHeight="1">
      <c r="I979" s="123"/>
      <c r="L979" s="123"/>
      <c r="P979" s="123"/>
      <c r="R979" s="123"/>
    </row>
    <row r="980" ht="15.75" customHeight="1">
      <c r="I980" s="123"/>
      <c r="L980" s="123"/>
      <c r="P980" s="123"/>
      <c r="R980" s="123"/>
    </row>
    <row r="981" ht="15.75" customHeight="1">
      <c r="I981" s="123"/>
      <c r="L981" s="123"/>
      <c r="P981" s="123"/>
      <c r="R981" s="123"/>
    </row>
    <row r="982" ht="15.75" customHeight="1">
      <c r="I982" s="123"/>
      <c r="L982" s="123"/>
      <c r="P982" s="123"/>
      <c r="R982" s="123"/>
    </row>
    <row r="983" ht="15.75" customHeight="1">
      <c r="I983" s="123"/>
      <c r="L983" s="123"/>
      <c r="P983" s="123"/>
      <c r="R983" s="123"/>
    </row>
    <row r="984" ht="15.75" customHeight="1">
      <c r="I984" s="123"/>
      <c r="L984" s="123"/>
      <c r="P984" s="123"/>
      <c r="R984" s="123"/>
    </row>
    <row r="985" ht="15.75" customHeight="1">
      <c r="I985" s="123"/>
      <c r="L985" s="123"/>
      <c r="P985" s="123"/>
      <c r="R985" s="123"/>
    </row>
    <row r="986" ht="15.75" customHeight="1">
      <c r="I986" s="123"/>
      <c r="L986" s="123"/>
      <c r="P986" s="123"/>
      <c r="R986" s="123"/>
    </row>
    <row r="987" ht="15.75" customHeight="1">
      <c r="I987" s="123"/>
      <c r="L987" s="123"/>
      <c r="P987" s="123"/>
      <c r="R987" s="123"/>
    </row>
    <row r="988" ht="15.75" customHeight="1">
      <c r="I988" s="123"/>
      <c r="L988" s="123"/>
      <c r="P988" s="123"/>
      <c r="R988" s="123"/>
    </row>
    <row r="989" ht="15.75" customHeight="1">
      <c r="I989" s="123"/>
      <c r="L989" s="123"/>
      <c r="P989" s="123"/>
      <c r="R989" s="123"/>
    </row>
    <row r="990" ht="15.75" customHeight="1">
      <c r="I990" s="123"/>
      <c r="L990" s="123"/>
      <c r="P990" s="123"/>
      <c r="R990" s="123"/>
    </row>
    <row r="991" ht="15.75" customHeight="1">
      <c r="I991" s="123"/>
      <c r="L991" s="123"/>
      <c r="P991" s="123"/>
      <c r="R991" s="123"/>
    </row>
    <row r="992" ht="15.75" customHeight="1">
      <c r="I992" s="123"/>
      <c r="L992" s="123"/>
      <c r="P992" s="123"/>
      <c r="R992" s="123"/>
    </row>
    <row r="993" ht="15.75" customHeight="1">
      <c r="I993" s="123"/>
      <c r="L993" s="123"/>
      <c r="P993" s="123"/>
      <c r="R993" s="123"/>
    </row>
    <row r="994" ht="15.75" customHeight="1">
      <c r="I994" s="123"/>
      <c r="L994" s="123"/>
      <c r="P994" s="123"/>
      <c r="R994" s="123"/>
    </row>
    <row r="995" ht="15.75" customHeight="1">
      <c r="I995" s="123"/>
      <c r="L995" s="123"/>
      <c r="P995" s="123"/>
      <c r="R995" s="123"/>
    </row>
    <row r="996" ht="15.75" customHeight="1">
      <c r="I996" s="123"/>
      <c r="L996" s="123"/>
      <c r="P996" s="123"/>
      <c r="R996" s="123"/>
    </row>
    <row r="997" ht="15.75" customHeight="1">
      <c r="I997" s="123"/>
      <c r="L997" s="123"/>
      <c r="P997" s="123"/>
      <c r="R997" s="123"/>
    </row>
    <row r="998" ht="15.75" customHeight="1">
      <c r="I998" s="123"/>
      <c r="L998" s="123"/>
      <c r="P998" s="123"/>
      <c r="R998" s="123"/>
    </row>
    <row r="999" ht="15.75" customHeight="1">
      <c r="I999" s="123"/>
      <c r="L999" s="123"/>
      <c r="P999" s="123"/>
      <c r="R999" s="123"/>
    </row>
    <row r="1000" ht="15.75" customHeight="1">
      <c r="I1000" s="123"/>
      <c r="L1000" s="123"/>
      <c r="P1000" s="123"/>
      <c r="R1000" s="123"/>
    </row>
  </sheetData>
  <mergeCells count="12">
    <mergeCell ref="G4:G6"/>
    <mergeCell ref="H4:H6"/>
    <mergeCell ref="I4:I6"/>
    <mergeCell ref="K4:K6"/>
    <mergeCell ref="Q1:R1"/>
    <mergeCell ref="A4:A6"/>
    <mergeCell ref="B4:B6"/>
    <mergeCell ref="C4:C6"/>
    <mergeCell ref="D4:D6"/>
    <mergeCell ref="E4:E6"/>
    <mergeCell ref="F4:F6"/>
    <mergeCell ref="L4:L6"/>
  </mergeCells>
  <dataValidations>
    <dataValidation type="list" allowBlank="1" showErrorMessage="1" sqref="L4 L7:L19 L21:L39 L41:L59 L61:L79 L81:L99 L101:L119 L121:L139 L141:L159 L161:L179 L181:L199 L201:L219 L221:L1000">
      <formula1>"IG,YT,TikTok"</formula1>
    </dataValidation>
    <dataValidation type="list" allowBlank="1" showErrorMessage="1" sqref="I4 I7:I19 I21:I39 I41:I59 I61:I79 I81:I99 I101:I119 I121:I139 I141:I159 I161:I179 I181:I199 I201:I219 I221:I1000">
      <formula1>"1st Email,2nd Email,3rd Email,Final Email,No reply,No deal,Not interested,Negotiating,Agreed"</formula1>
    </dataValidation>
    <dataValidation type="list" allowBlank="1" showErrorMessage="1" sqref="P4:P19 P21:P39 P41:P59 P61:P79 P81:P99 P101:P119 P121:P139 P141:P159 P161:P179 P181:P199 P201:P219 P221:P1000">
      <formula1>"Ordered,Processing,Shipped,Received"</formula1>
    </dataValidation>
    <dataValidation type="list" allowBlank="1" showErrorMessage="1" sqref="R4:R19 R21:R39 R41:R59 R61:R79 R81:R99 R101:R119 R121:R139 R141:R159 R161:R179 R181:R199 R201:R219 R221:R1000">
      <formula1>"Stories,Feed Post,Reel,Integration,Dedicated Vid,TikTok"</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3.13"/>
    <col customWidth="1" min="2" max="2" width="19.0"/>
    <col customWidth="1" min="3" max="3" width="10.0"/>
    <col customWidth="1" min="4" max="4" width="6.5"/>
    <col customWidth="1" min="5" max="5" width="11.38"/>
    <col customWidth="1" min="6" max="6" width="11.75"/>
    <col customWidth="1" min="7" max="10" width="10.25"/>
    <col customWidth="1" min="11" max="11" width="10.0"/>
    <col customWidth="1" min="12" max="12" width="11.25"/>
    <col customWidth="1" min="13" max="15" width="11.88"/>
  </cols>
  <sheetData>
    <row r="1" ht="52.5" customHeight="1">
      <c r="A1" s="12" t="s">
        <v>4</v>
      </c>
      <c r="B1" s="12" t="s">
        <v>9</v>
      </c>
      <c r="C1" s="17" t="s">
        <v>46</v>
      </c>
      <c r="D1" s="20" t="s">
        <v>20</v>
      </c>
      <c r="E1" s="12" t="s">
        <v>43</v>
      </c>
      <c r="F1" s="12" t="s">
        <v>28</v>
      </c>
      <c r="G1" s="12" t="s">
        <v>13</v>
      </c>
      <c r="H1" s="12" t="s">
        <v>132</v>
      </c>
      <c r="I1" s="12" t="s">
        <v>133</v>
      </c>
      <c r="J1" s="12" t="s">
        <v>134</v>
      </c>
      <c r="K1" s="12" t="s">
        <v>14</v>
      </c>
      <c r="L1" s="24" t="s">
        <v>135</v>
      </c>
      <c r="M1" s="17" t="s">
        <v>121</v>
      </c>
      <c r="N1" s="24" t="s">
        <v>122</v>
      </c>
      <c r="O1" s="20" t="s">
        <v>34</v>
      </c>
    </row>
    <row r="2" ht="18.75" customHeight="1">
      <c r="A2" s="117"/>
      <c r="B2" s="117"/>
      <c r="C2" s="118"/>
      <c r="D2" s="119"/>
      <c r="E2" s="117"/>
      <c r="F2" s="117"/>
      <c r="G2" s="117"/>
      <c r="H2" s="117"/>
      <c r="I2" s="117"/>
      <c r="J2" s="117"/>
      <c r="K2" s="121" t="s">
        <v>123</v>
      </c>
      <c r="L2" s="121">
        <f t="shared" ref="L2:N2" si="1">sum(L4:L999)</f>
        <v>4162.5</v>
      </c>
      <c r="M2" s="118">
        <f t="shared" si="1"/>
        <v>1665</v>
      </c>
      <c r="N2" s="121">
        <f t="shared" si="1"/>
        <v>83250</v>
      </c>
      <c r="O2" s="119">
        <f>AVERAGE(O3,O20,O40,O60,O80,O100,O120,O140,O160,O180,O200,O220)</f>
        <v>1.666666667</v>
      </c>
    </row>
    <row r="3" ht="18.75" customHeight="1">
      <c r="A3" s="12" t="s">
        <v>39</v>
      </c>
      <c r="B3" s="12"/>
      <c r="C3" s="17"/>
      <c r="D3" s="20"/>
      <c r="E3" s="12"/>
      <c r="F3" s="12"/>
      <c r="G3" s="12"/>
      <c r="H3" s="12"/>
      <c r="I3" s="12"/>
      <c r="J3" s="12"/>
      <c r="K3" s="12"/>
      <c r="L3" s="24">
        <f>sum(L4:L19)</f>
        <v>4162.5</v>
      </c>
      <c r="M3" s="17">
        <f t="shared" ref="M3:N3" si="2">SUM(M4:M103)</f>
        <v>1665</v>
      </c>
      <c r="N3" s="24">
        <f t="shared" si="2"/>
        <v>83250</v>
      </c>
      <c r="O3" s="20">
        <f>AVERAGE(O4:O6)</f>
        <v>20</v>
      </c>
    </row>
    <row r="4" ht="15.75" customHeight="1">
      <c r="A4" s="49" t="s">
        <v>50</v>
      </c>
      <c r="B4" s="49" t="s">
        <v>51</v>
      </c>
      <c r="C4" s="52" t="s">
        <v>57</v>
      </c>
      <c r="D4" s="54">
        <v>4.0E-4</v>
      </c>
      <c r="E4" s="49" t="s">
        <v>52</v>
      </c>
      <c r="F4" s="49" t="s">
        <v>63</v>
      </c>
      <c r="G4" s="49" t="s">
        <v>125</v>
      </c>
      <c r="H4" s="122">
        <v>0.15</v>
      </c>
      <c r="I4" s="49" t="s">
        <v>136</v>
      </c>
      <c r="J4" s="49">
        <v>0.05</v>
      </c>
      <c r="K4" s="106" t="s">
        <v>126</v>
      </c>
      <c r="L4" s="55">
        <f t="shared" ref="L4:L6" si="3">product(J4*N4)</f>
        <v>1387.5</v>
      </c>
      <c r="M4" s="52">
        <v>555.0</v>
      </c>
      <c r="N4" s="55">
        <v>27750.0</v>
      </c>
      <c r="O4" s="54">
        <f t="shared" ref="O4:O19" si="4">N4/L4</f>
        <v>20</v>
      </c>
    </row>
    <row r="5" ht="15.75" customHeight="1">
      <c r="J5" s="49">
        <v>0.05</v>
      </c>
      <c r="L5" s="55">
        <f t="shared" si="3"/>
        <v>1387.5</v>
      </c>
      <c r="M5" s="52">
        <v>555.0</v>
      </c>
      <c r="N5" s="55">
        <v>27750.0</v>
      </c>
      <c r="O5" s="54">
        <f t="shared" si="4"/>
        <v>20</v>
      </c>
    </row>
    <row r="6" ht="15.75" customHeight="1">
      <c r="J6" s="49">
        <v>0.05</v>
      </c>
      <c r="L6" s="55">
        <f t="shared" si="3"/>
        <v>1387.5</v>
      </c>
      <c r="M6" s="52">
        <v>555.0</v>
      </c>
      <c r="N6" s="55">
        <v>27750.0</v>
      </c>
      <c r="O6" s="54">
        <f t="shared" si="4"/>
        <v>20</v>
      </c>
    </row>
    <row r="7" ht="15.75" customHeight="1">
      <c r="A7" s="49"/>
      <c r="B7" s="49"/>
      <c r="C7" s="52"/>
      <c r="D7" s="54"/>
      <c r="E7" s="49"/>
      <c r="F7" s="49"/>
      <c r="G7" s="49"/>
      <c r="H7" s="49"/>
      <c r="I7" s="49"/>
      <c r="J7" s="49"/>
      <c r="K7" s="106"/>
      <c r="L7" s="55">
        <f t="shared" ref="L7:L19" si="5">product(0.05*N7)</f>
        <v>0</v>
      </c>
      <c r="M7" s="52"/>
      <c r="N7" s="55">
        <v>0.0</v>
      </c>
      <c r="O7" s="54" t="str">
        <f t="shared" si="4"/>
        <v>#DIV/0!</v>
      </c>
    </row>
    <row r="8" ht="15.75" customHeight="1">
      <c r="A8" s="57"/>
      <c r="B8" s="57"/>
      <c r="C8" s="58"/>
      <c r="D8" s="59"/>
      <c r="E8" s="57"/>
      <c r="F8" s="57"/>
      <c r="G8" s="49"/>
      <c r="H8" s="49"/>
      <c r="I8" s="49"/>
      <c r="J8" s="49"/>
      <c r="K8" s="106"/>
      <c r="L8" s="55">
        <f t="shared" si="5"/>
        <v>0</v>
      </c>
      <c r="M8" s="52"/>
      <c r="N8" s="55">
        <v>0.0</v>
      </c>
      <c r="O8" s="54" t="str">
        <f t="shared" si="4"/>
        <v>#DIV/0!</v>
      </c>
    </row>
    <row r="9" ht="15.75" customHeight="1">
      <c r="A9" s="49"/>
      <c r="B9" s="49"/>
      <c r="C9" s="52"/>
      <c r="D9" s="54"/>
      <c r="E9" s="49"/>
      <c r="F9" s="49"/>
      <c r="G9" s="49"/>
      <c r="H9" s="49"/>
      <c r="I9" s="49"/>
      <c r="J9" s="49"/>
      <c r="K9" s="106"/>
      <c r="L9" s="55">
        <f t="shared" si="5"/>
        <v>0</v>
      </c>
      <c r="M9" s="52"/>
      <c r="N9" s="55">
        <v>0.0</v>
      </c>
      <c r="O9" s="54" t="str">
        <f t="shared" si="4"/>
        <v>#DIV/0!</v>
      </c>
    </row>
    <row r="10" ht="15.75" customHeight="1">
      <c r="A10" s="49"/>
      <c r="B10" s="49"/>
      <c r="C10" s="52"/>
      <c r="D10" s="54"/>
      <c r="E10" s="49"/>
      <c r="F10" s="49"/>
      <c r="G10" s="49"/>
      <c r="H10" s="49"/>
      <c r="I10" s="49"/>
      <c r="J10" s="49"/>
      <c r="K10" s="106"/>
      <c r="L10" s="55">
        <f t="shared" si="5"/>
        <v>0</v>
      </c>
      <c r="M10" s="52"/>
      <c r="N10" s="55">
        <v>0.0</v>
      </c>
      <c r="O10" s="54" t="str">
        <f t="shared" si="4"/>
        <v>#DIV/0!</v>
      </c>
    </row>
    <row r="11" ht="15.75" customHeight="1">
      <c r="A11" s="49"/>
      <c r="B11" s="49"/>
      <c r="C11" s="52"/>
      <c r="D11" s="54"/>
      <c r="E11" s="49"/>
      <c r="F11" s="49"/>
      <c r="G11" s="49"/>
      <c r="H11" s="49"/>
      <c r="I11" s="49"/>
      <c r="J11" s="49"/>
      <c r="K11" s="106"/>
      <c r="L11" s="55">
        <f t="shared" si="5"/>
        <v>0</v>
      </c>
      <c r="M11" s="52"/>
      <c r="N11" s="55">
        <v>0.0</v>
      </c>
      <c r="O11" s="54" t="str">
        <f t="shared" si="4"/>
        <v>#DIV/0!</v>
      </c>
    </row>
    <row r="12" ht="15.75" customHeight="1">
      <c r="A12" s="49"/>
      <c r="B12" s="49"/>
      <c r="C12" s="52"/>
      <c r="D12" s="54"/>
      <c r="E12" s="49"/>
      <c r="F12" s="49"/>
      <c r="G12" s="49"/>
      <c r="H12" s="49"/>
      <c r="I12" s="49"/>
      <c r="J12" s="49"/>
      <c r="K12" s="106"/>
      <c r="L12" s="55">
        <f t="shared" si="5"/>
        <v>0</v>
      </c>
      <c r="M12" s="52"/>
      <c r="N12" s="55">
        <v>0.0</v>
      </c>
      <c r="O12" s="54" t="str">
        <f t="shared" si="4"/>
        <v>#DIV/0!</v>
      </c>
    </row>
    <row r="13" ht="15.75" customHeight="1">
      <c r="A13" s="57"/>
      <c r="B13" s="57"/>
      <c r="C13" s="58"/>
      <c r="D13" s="59"/>
      <c r="E13" s="57"/>
      <c r="F13" s="57"/>
      <c r="G13" s="49"/>
      <c r="H13" s="49"/>
      <c r="I13" s="49"/>
      <c r="J13" s="49"/>
      <c r="K13" s="106"/>
      <c r="L13" s="55">
        <f t="shared" si="5"/>
        <v>0</v>
      </c>
      <c r="M13" s="52"/>
      <c r="N13" s="55">
        <v>0.0</v>
      </c>
      <c r="O13" s="54" t="str">
        <f t="shared" si="4"/>
        <v>#DIV/0!</v>
      </c>
    </row>
    <row r="14" ht="15.75" customHeight="1">
      <c r="A14" s="49"/>
      <c r="B14" s="49"/>
      <c r="C14" s="52"/>
      <c r="D14" s="54"/>
      <c r="E14" s="49"/>
      <c r="F14" s="49"/>
      <c r="G14" s="49"/>
      <c r="H14" s="49"/>
      <c r="I14" s="49"/>
      <c r="J14" s="49"/>
      <c r="K14" s="106"/>
      <c r="L14" s="55">
        <f t="shared" si="5"/>
        <v>0</v>
      </c>
      <c r="M14" s="52"/>
      <c r="N14" s="55">
        <v>0.0</v>
      </c>
      <c r="O14" s="54" t="str">
        <f t="shared" si="4"/>
        <v>#DIV/0!</v>
      </c>
    </row>
    <row r="15" ht="15.75" customHeight="1">
      <c r="A15" s="49"/>
      <c r="B15" s="49"/>
      <c r="C15" s="52"/>
      <c r="D15" s="54"/>
      <c r="E15" s="49"/>
      <c r="F15" s="49"/>
      <c r="G15" s="49"/>
      <c r="H15" s="49"/>
      <c r="I15" s="49"/>
      <c r="J15" s="49"/>
      <c r="K15" s="106"/>
      <c r="L15" s="55">
        <f t="shared" si="5"/>
        <v>0</v>
      </c>
      <c r="M15" s="52"/>
      <c r="N15" s="55">
        <v>0.0</v>
      </c>
      <c r="O15" s="54" t="str">
        <f t="shared" si="4"/>
        <v>#DIV/0!</v>
      </c>
    </row>
    <row r="16" ht="15.75" customHeight="1">
      <c r="A16" s="49"/>
      <c r="B16" s="49"/>
      <c r="C16" s="52"/>
      <c r="D16" s="54"/>
      <c r="E16" s="49"/>
      <c r="F16" s="49"/>
      <c r="G16" s="49"/>
      <c r="H16" s="49"/>
      <c r="I16" s="49"/>
      <c r="J16" s="49"/>
      <c r="K16" s="106"/>
      <c r="L16" s="55">
        <f t="shared" si="5"/>
        <v>0</v>
      </c>
      <c r="M16" s="52"/>
      <c r="N16" s="55">
        <v>0.0</v>
      </c>
      <c r="O16" s="54" t="str">
        <f t="shared" si="4"/>
        <v>#DIV/0!</v>
      </c>
    </row>
    <row r="17" ht="15.75" customHeight="1">
      <c r="A17" s="49"/>
      <c r="B17" s="49"/>
      <c r="C17" s="52"/>
      <c r="D17" s="54"/>
      <c r="E17" s="49"/>
      <c r="F17" s="49"/>
      <c r="G17" s="49"/>
      <c r="H17" s="49"/>
      <c r="I17" s="49"/>
      <c r="J17" s="49"/>
      <c r="K17" s="106"/>
      <c r="L17" s="55">
        <f t="shared" si="5"/>
        <v>0</v>
      </c>
      <c r="M17" s="52"/>
      <c r="N17" s="55">
        <v>0.0</v>
      </c>
      <c r="O17" s="54" t="str">
        <f t="shared" si="4"/>
        <v>#DIV/0!</v>
      </c>
    </row>
    <row r="18" ht="15.75" customHeight="1">
      <c r="A18" s="49"/>
      <c r="B18" s="49"/>
      <c r="C18" s="52"/>
      <c r="D18" s="54"/>
      <c r="E18" s="49"/>
      <c r="F18" s="49"/>
      <c r="G18" s="49"/>
      <c r="H18" s="49"/>
      <c r="I18" s="49"/>
      <c r="J18" s="49"/>
      <c r="K18" s="106"/>
      <c r="L18" s="55">
        <f t="shared" si="5"/>
        <v>0</v>
      </c>
      <c r="M18" s="52"/>
      <c r="N18" s="55">
        <v>0.0</v>
      </c>
      <c r="O18" s="54" t="str">
        <f t="shared" si="4"/>
        <v>#DIV/0!</v>
      </c>
    </row>
    <row r="19" ht="15.75" customHeight="1">
      <c r="A19" s="49"/>
      <c r="B19" s="49"/>
      <c r="C19" s="52"/>
      <c r="D19" s="54"/>
      <c r="E19" s="49"/>
      <c r="F19" s="49"/>
      <c r="G19" s="49"/>
      <c r="H19" s="49"/>
      <c r="I19" s="49"/>
      <c r="J19" s="49"/>
      <c r="K19" s="106"/>
      <c r="L19" s="55">
        <f t="shared" si="5"/>
        <v>0</v>
      </c>
      <c r="M19" s="52"/>
      <c r="N19" s="55">
        <v>0.0</v>
      </c>
      <c r="O19" s="54" t="str">
        <f t="shared" si="4"/>
        <v>#DIV/0!</v>
      </c>
    </row>
    <row r="20" ht="15.75" customHeight="1">
      <c r="A20" s="107" t="s">
        <v>54</v>
      </c>
      <c r="B20" s="108"/>
      <c r="C20" s="109"/>
      <c r="D20" s="110"/>
      <c r="E20" s="108"/>
      <c r="F20" s="108"/>
      <c r="G20" s="108"/>
      <c r="H20" s="108"/>
      <c r="I20" s="108"/>
      <c r="J20" s="108"/>
      <c r="K20" s="108"/>
      <c r="L20" s="113"/>
      <c r="M20" s="114">
        <f t="shared" ref="M20:N20" si="6">SUM(M21:M39)</f>
        <v>0</v>
      </c>
      <c r="N20" s="113">
        <f t="shared" si="6"/>
        <v>0</v>
      </c>
      <c r="O20" s="115">
        <f>AVERAGE(O21:O39)</f>
        <v>0</v>
      </c>
    </row>
    <row r="21" ht="15.75" customHeight="1">
      <c r="A21" s="57"/>
      <c r="B21" s="57"/>
      <c r="C21" s="58"/>
      <c r="D21" s="59"/>
      <c r="E21" s="57"/>
      <c r="F21" s="57"/>
      <c r="G21" s="49"/>
      <c r="H21" s="49"/>
      <c r="I21" s="49"/>
      <c r="J21" s="49"/>
      <c r="K21" s="106"/>
      <c r="L21" s="61"/>
      <c r="M21" s="52"/>
      <c r="N21" s="55"/>
      <c r="O21" s="54">
        <v>0.0</v>
      </c>
    </row>
    <row r="22" ht="15.75" customHeight="1">
      <c r="A22" s="49"/>
      <c r="B22" s="49"/>
      <c r="C22" s="52"/>
      <c r="D22" s="54"/>
      <c r="E22" s="49"/>
      <c r="F22" s="49"/>
      <c r="G22" s="49"/>
      <c r="H22" s="49"/>
      <c r="I22" s="49"/>
      <c r="J22" s="49"/>
      <c r="K22" s="106"/>
      <c r="L22" s="55"/>
      <c r="M22" s="52"/>
      <c r="N22" s="55"/>
      <c r="O22" s="54"/>
    </row>
    <row r="23" ht="15.75" customHeight="1">
      <c r="A23" s="49"/>
      <c r="B23" s="49"/>
      <c r="C23" s="52"/>
      <c r="D23" s="54"/>
      <c r="E23" s="49"/>
      <c r="F23" s="49"/>
      <c r="G23" s="49"/>
      <c r="H23" s="49"/>
      <c r="I23" s="49"/>
      <c r="J23" s="49"/>
      <c r="K23" s="106"/>
      <c r="L23" s="55"/>
      <c r="M23" s="52"/>
      <c r="N23" s="55"/>
      <c r="O23" s="54"/>
    </row>
    <row r="24" ht="15.75" customHeight="1">
      <c r="A24" s="49"/>
      <c r="B24" s="49"/>
      <c r="C24" s="52"/>
      <c r="D24" s="54"/>
      <c r="E24" s="49"/>
      <c r="F24" s="49"/>
      <c r="G24" s="49"/>
      <c r="H24" s="49"/>
      <c r="I24" s="49"/>
      <c r="J24" s="49"/>
      <c r="K24" s="106"/>
      <c r="L24" s="55"/>
      <c r="M24" s="52"/>
      <c r="N24" s="55"/>
      <c r="O24" s="54"/>
    </row>
    <row r="25" ht="15.75" customHeight="1">
      <c r="A25" s="49"/>
      <c r="B25" s="49"/>
      <c r="C25" s="52"/>
      <c r="D25" s="54"/>
      <c r="E25" s="49"/>
      <c r="F25" s="49"/>
      <c r="G25" s="49"/>
      <c r="H25" s="49"/>
      <c r="I25" s="49"/>
      <c r="J25" s="49"/>
      <c r="K25" s="106"/>
      <c r="L25" s="55"/>
      <c r="M25" s="52"/>
      <c r="N25" s="55"/>
      <c r="O25" s="54"/>
    </row>
    <row r="26" ht="15.75" customHeight="1">
      <c r="A26" s="57"/>
      <c r="B26" s="57"/>
      <c r="C26" s="58"/>
      <c r="D26" s="59"/>
      <c r="E26" s="57"/>
      <c r="F26" s="57"/>
      <c r="G26" s="49"/>
      <c r="H26" s="49"/>
      <c r="I26" s="49"/>
      <c r="J26" s="49"/>
      <c r="K26" s="106"/>
      <c r="L26" s="61"/>
      <c r="M26" s="52"/>
      <c r="N26" s="55"/>
      <c r="O26" s="54"/>
    </row>
    <row r="27" ht="15.75" customHeight="1">
      <c r="A27" s="49"/>
      <c r="B27" s="49"/>
      <c r="C27" s="52"/>
      <c r="D27" s="54"/>
      <c r="E27" s="49"/>
      <c r="F27" s="49"/>
      <c r="G27" s="49"/>
      <c r="H27" s="49"/>
      <c r="I27" s="49"/>
      <c r="J27" s="49"/>
      <c r="K27" s="106"/>
      <c r="L27" s="55"/>
      <c r="M27" s="52"/>
      <c r="N27" s="55"/>
      <c r="O27" s="54"/>
    </row>
    <row r="28" ht="15.75" customHeight="1">
      <c r="A28" s="49"/>
      <c r="B28" s="49"/>
      <c r="C28" s="52"/>
      <c r="D28" s="54"/>
      <c r="E28" s="49"/>
      <c r="F28" s="49"/>
      <c r="G28" s="49"/>
      <c r="H28" s="49"/>
      <c r="I28" s="49"/>
      <c r="J28" s="49"/>
      <c r="K28" s="106"/>
      <c r="L28" s="55"/>
      <c r="M28" s="52"/>
      <c r="N28" s="55"/>
      <c r="O28" s="54"/>
    </row>
    <row r="29" ht="15.75" customHeight="1">
      <c r="A29" s="49"/>
      <c r="B29" s="49"/>
      <c r="C29" s="52"/>
      <c r="D29" s="54"/>
      <c r="E29" s="49"/>
      <c r="F29" s="49"/>
      <c r="G29" s="49"/>
      <c r="H29" s="49"/>
      <c r="I29" s="49"/>
      <c r="J29" s="49"/>
      <c r="K29" s="106"/>
      <c r="L29" s="55"/>
      <c r="M29" s="52"/>
      <c r="N29" s="55"/>
      <c r="O29" s="54"/>
    </row>
    <row r="30" ht="15.75" customHeight="1">
      <c r="A30" s="49"/>
      <c r="B30" s="49"/>
      <c r="C30" s="52"/>
      <c r="D30" s="54"/>
      <c r="E30" s="49"/>
      <c r="F30" s="49"/>
      <c r="G30" s="49"/>
      <c r="H30" s="49"/>
      <c r="I30" s="49"/>
      <c r="J30" s="49"/>
      <c r="K30" s="106"/>
      <c r="L30" s="55"/>
      <c r="M30" s="52"/>
      <c r="N30" s="55"/>
      <c r="O30" s="54"/>
    </row>
    <row r="31" ht="15.75" customHeight="1">
      <c r="A31" s="57"/>
      <c r="B31" s="57"/>
      <c r="C31" s="58"/>
      <c r="D31" s="59"/>
      <c r="E31" s="57"/>
      <c r="F31" s="57"/>
      <c r="G31" s="49"/>
      <c r="H31" s="49"/>
      <c r="I31" s="49"/>
      <c r="J31" s="49"/>
      <c r="K31" s="106"/>
      <c r="L31" s="61"/>
      <c r="M31" s="52"/>
      <c r="N31" s="55"/>
      <c r="O31" s="54"/>
    </row>
    <row r="32" ht="15.75" customHeight="1">
      <c r="A32" s="49"/>
      <c r="B32" s="49"/>
      <c r="C32" s="52"/>
      <c r="D32" s="54"/>
      <c r="E32" s="49"/>
      <c r="F32" s="49"/>
      <c r="G32" s="49"/>
      <c r="H32" s="49"/>
      <c r="I32" s="49"/>
      <c r="J32" s="49"/>
      <c r="K32" s="106"/>
      <c r="L32" s="55"/>
      <c r="M32" s="52"/>
      <c r="N32" s="55"/>
      <c r="O32" s="54"/>
    </row>
    <row r="33" ht="15.75" customHeight="1">
      <c r="A33" s="49"/>
      <c r="B33" s="49"/>
      <c r="C33" s="52"/>
      <c r="D33" s="54"/>
      <c r="E33" s="49"/>
      <c r="F33" s="49"/>
      <c r="G33" s="49"/>
      <c r="H33" s="49"/>
      <c r="I33" s="49"/>
      <c r="J33" s="49"/>
      <c r="K33" s="106"/>
      <c r="L33" s="55"/>
      <c r="M33" s="52"/>
      <c r="N33" s="55"/>
      <c r="O33" s="54"/>
    </row>
    <row r="34" ht="15.75" customHeight="1">
      <c r="A34" s="49"/>
      <c r="B34" s="49"/>
      <c r="C34" s="52"/>
      <c r="D34" s="54"/>
      <c r="E34" s="49"/>
      <c r="F34" s="49"/>
      <c r="G34" s="49"/>
      <c r="H34" s="49"/>
      <c r="I34" s="49"/>
      <c r="J34" s="49"/>
      <c r="K34" s="106"/>
      <c r="L34" s="55"/>
      <c r="M34" s="52"/>
      <c r="N34" s="55"/>
      <c r="O34" s="54"/>
    </row>
    <row r="35" ht="15.75" customHeight="1">
      <c r="A35" s="49"/>
      <c r="B35" s="49"/>
      <c r="C35" s="52"/>
      <c r="D35" s="54"/>
      <c r="E35" s="49"/>
      <c r="F35" s="49"/>
      <c r="G35" s="49"/>
      <c r="H35" s="49"/>
      <c r="I35" s="49"/>
      <c r="J35" s="49"/>
      <c r="K35" s="106"/>
      <c r="L35" s="55"/>
      <c r="M35" s="52"/>
      <c r="N35" s="55"/>
      <c r="O35" s="54"/>
    </row>
    <row r="36" ht="15.75" customHeight="1">
      <c r="A36" s="57"/>
      <c r="B36" s="57"/>
      <c r="C36" s="58"/>
      <c r="D36" s="59"/>
      <c r="E36" s="57"/>
      <c r="F36" s="57"/>
      <c r="G36" s="49"/>
      <c r="H36" s="49"/>
      <c r="I36" s="49"/>
      <c r="J36" s="49"/>
      <c r="K36" s="106"/>
      <c r="L36" s="61"/>
      <c r="M36" s="52"/>
      <c r="N36" s="55"/>
      <c r="O36" s="54"/>
    </row>
    <row r="37" ht="15.75" customHeight="1">
      <c r="A37" s="49"/>
      <c r="B37" s="49"/>
      <c r="C37" s="52"/>
      <c r="D37" s="54"/>
      <c r="E37" s="49"/>
      <c r="F37" s="49"/>
      <c r="G37" s="49"/>
      <c r="H37" s="49"/>
      <c r="I37" s="49"/>
      <c r="J37" s="49"/>
      <c r="K37" s="106"/>
      <c r="L37" s="55"/>
      <c r="M37" s="52"/>
      <c r="N37" s="55"/>
      <c r="O37" s="54"/>
    </row>
    <row r="38" ht="15.75" customHeight="1">
      <c r="A38" s="49"/>
      <c r="B38" s="49"/>
      <c r="C38" s="52"/>
      <c r="D38" s="54"/>
      <c r="E38" s="49"/>
      <c r="F38" s="49"/>
      <c r="G38" s="49"/>
      <c r="H38" s="49"/>
      <c r="I38" s="49"/>
      <c r="J38" s="49"/>
      <c r="K38" s="106"/>
      <c r="L38" s="55"/>
      <c r="M38" s="52"/>
      <c r="N38" s="55"/>
      <c r="O38" s="54"/>
    </row>
    <row r="39" ht="15.75" customHeight="1">
      <c r="A39" s="49"/>
      <c r="B39" s="49"/>
      <c r="C39" s="52"/>
      <c r="D39" s="54"/>
      <c r="E39" s="49"/>
      <c r="F39" s="49"/>
      <c r="G39" s="49"/>
      <c r="H39" s="49"/>
      <c r="I39" s="49"/>
      <c r="J39" s="49"/>
      <c r="K39" s="106"/>
      <c r="L39" s="55"/>
      <c r="M39" s="52"/>
      <c r="N39" s="55"/>
      <c r="O39" s="54"/>
    </row>
    <row r="40" ht="15.75" customHeight="1">
      <c r="A40" s="107" t="s">
        <v>62</v>
      </c>
      <c r="B40" s="108"/>
      <c r="C40" s="109"/>
      <c r="D40" s="110"/>
      <c r="E40" s="108"/>
      <c r="F40" s="108"/>
      <c r="G40" s="108"/>
      <c r="H40" s="108"/>
      <c r="I40" s="108"/>
      <c r="J40" s="108"/>
      <c r="K40" s="108"/>
      <c r="L40" s="113"/>
      <c r="M40" s="114">
        <f t="shared" ref="M40:N40" si="7">SUM(M41:M59)</f>
        <v>0</v>
      </c>
      <c r="N40" s="113">
        <f t="shared" si="7"/>
        <v>0</v>
      </c>
      <c r="O40" s="115">
        <f>AVERAGE(O41:O59)</f>
        <v>0</v>
      </c>
    </row>
    <row r="41" ht="15.75" customHeight="1">
      <c r="A41" s="57"/>
      <c r="B41" s="57"/>
      <c r="C41" s="58"/>
      <c r="D41" s="59"/>
      <c r="E41" s="57"/>
      <c r="F41" s="57"/>
      <c r="G41" s="49"/>
      <c r="H41" s="49"/>
      <c r="I41" s="49"/>
      <c r="J41" s="49"/>
      <c r="K41" s="106"/>
      <c r="L41" s="61"/>
      <c r="M41" s="52"/>
      <c r="N41" s="55"/>
      <c r="O41" s="54">
        <v>0.0</v>
      </c>
    </row>
    <row r="42" ht="15.75" customHeight="1">
      <c r="A42" s="49"/>
      <c r="B42" s="49"/>
      <c r="C42" s="52"/>
      <c r="D42" s="54"/>
      <c r="E42" s="49"/>
      <c r="F42" s="49"/>
      <c r="G42" s="49"/>
      <c r="H42" s="49"/>
      <c r="I42" s="49"/>
      <c r="J42" s="49"/>
      <c r="K42" s="106"/>
      <c r="L42" s="55"/>
      <c r="M42" s="52"/>
      <c r="N42" s="55"/>
      <c r="O42" s="54"/>
    </row>
    <row r="43" ht="15.75" customHeight="1">
      <c r="A43" s="49"/>
      <c r="B43" s="49"/>
      <c r="C43" s="52"/>
      <c r="D43" s="54"/>
      <c r="E43" s="49"/>
      <c r="F43" s="49"/>
      <c r="G43" s="49"/>
      <c r="H43" s="49"/>
      <c r="I43" s="49"/>
      <c r="J43" s="49"/>
      <c r="K43" s="106"/>
      <c r="L43" s="55"/>
      <c r="M43" s="52"/>
      <c r="N43" s="55"/>
      <c r="O43" s="54"/>
    </row>
    <row r="44" ht="15.75" customHeight="1">
      <c r="A44" s="49"/>
      <c r="B44" s="49"/>
      <c r="C44" s="52"/>
      <c r="D44" s="54"/>
      <c r="E44" s="49"/>
      <c r="F44" s="49"/>
      <c r="G44" s="49"/>
      <c r="H44" s="49"/>
      <c r="I44" s="49"/>
      <c r="J44" s="49"/>
      <c r="K44" s="106"/>
      <c r="L44" s="55"/>
      <c r="M44" s="52"/>
      <c r="N44" s="55"/>
      <c r="O44" s="54"/>
    </row>
    <row r="45" ht="15.75" customHeight="1">
      <c r="A45" s="49"/>
      <c r="B45" s="49"/>
      <c r="C45" s="52"/>
      <c r="D45" s="54"/>
      <c r="E45" s="49"/>
      <c r="F45" s="49"/>
      <c r="G45" s="49"/>
      <c r="H45" s="49"/>
      <c r="I45" s="49"/>
      <c r="J45" s="49"/>
      <c r="K45" s="106"/>
      <c r="L45" s="55"/>
      <c r="M45" s="52"/>
      <c r="N45" s="55"/>
      <c r="O45" s="54"/>
    </row>
    <row r="46" ht="15.75" customHeight="1">
      <c r="A46" s="57"/>
      <c r="B46" s="57"/>
      <c r="C46" s="58"/>
      <c r="D46" s="59"/>
      <c r="E46" s="57"/>
      <c r="F46" s="57"/>
      <c r="G46" s="49"/>
      <c r="H46" s="49"/>
      <c r="I46" s="49"/>
      <c r="J46" s="49"/>
      <c r="K46" s="106"/>
      <c r="L46" s="61"/>
      <c r="M46" s="52"/>
      <c r="N46" s="55"/>
      <c r="O46" s="54"/>
    </row>
    <row r="47" ht="15.75" customHeight="1">
      <c r="A47" s="49"/>
      <c r="B47" s="49"/>
      <c r="C47" s="52"/>
      <c r="D47" s="54"/>
      <c r="E47" s="49"/>
      <c r="F47" s="49"/>
      <c r="G47" s="49"/>
      <c r="H47" s="49"/>
      <c r="I47" s="49"/>
      <c r="J47" s="49"/>
      <c r="K47" s="106"/>
      <c r="L47" s="55"/>
      <c r="M47" s="52"/>
      <c r="N47" s="55"/>
      <c r="O47" s="54"/>
    </row>
    <row r="48" ht="15.75" customHeight="1">
      <c r="A48" s="49"/>
      <c r="B48" s="49"/>
      <c r="C48" s="52"/>
      <c r="D48" s="54"/>
      <c r="E48" s="49"/>
      <c r="F48" s="49"/>
      <c r="G48" s="49"/>
      <c r="H48" s="49"/>
      <c r="I48" s="49"/>
      <c r="J48" s="49"/>
      <c r="K48" s="106"/>
      <c r="L48" s="55"/>
      <c r="M48" s="52"/>
      <c r="N48" s="55"/>
      <c r="O48" s="54"/>
    </row>
    <row r="49" ht="15.75" customHeight="1">
      <c r="A49" s="49"/>
      <c r="B49" s="49"/>
      <c r="C49" s="52"/>
      <c r="D49" s="54"/>
      <c r="E49" s="49"/>
      <c r="F49" s="49"/>
      <c r="G49" s="49"/>
      <c r="H49" s="49"/>
      <c r="I49" s="49"/>
      <c r="J49" s="49"/>
      <c r="K49" s="106"/>
      <c r="L49" s="55"/>
      <c r="M49" s="52"/>
      <c r="N49" s="55"/>
      <c r="O49" s="54"/>
    </row>
    <row r="50" ht="15.75" customHeight="1">
      <c r="A50" s="49"/>
      <c r="B50" s="49"/>
      <c r="C50" s="52"/>
      <c r="D50" s="54"/>
      <c r="E50" s="49"/>
      <c r="F50" s="49"/>
      <c r="G50" s="49"/>
      <c r="H50" s="49"/>
      <c r="I50" s="49"/>
      <c r="J50" s="49"/>
      <c r="K50" s="106"/>
      <c r="L50" s="55"/>
      <c r="M50" s="52"/>
      <c r="N50" s="55"/>
      <c r="O50" s="54"/>
    </row>
    <row r="51" ht="15.75" customHeight="1">
      <c r="A51" s="57"/>
      <c r="B51" s="57"/>
      <c r="C51" s="58"/>
      <c r="D51" s="59"/>
      <c r="E51" s="57"/>
      <c r="F51" s="57"/>
      <c r="G51" s="49"/>
      <c r="H51" s="49"/>
      <c r="I51" s="49"/>
      <c r="J51" s="49"/>
      <c r="K51" s="106"/>
      <c r="L51" s="61"/>
      <c r="M51" s="52"/>
      <c r="N51" s="55"/>
      <c r="O51" s="54"/>
    </row>
    <row r="52" ht="15.75" customHeight="1">
      <c r="A52" s="49"/>
      <c r="B52" s="49"/>
      <c r="C52" s="52"/>
      <c r="D52" s="54"/>
      <c r="E52" s="49"/>
      <c r="F52" s="49"/>
      <c r="G52" s="49"/>
      <c r="H52" s="49"/>
      <c r="I52" s="49"/>
      <c r="J52" s="49"/>
      <c r="K52" s="106"/>
      <c r="L52" s="55"/>
      <c r="M52" s="52"/>
      <c r="N52" s="55"/>
      <c r="O52" s="54"/>
    </row>
    <row r="53" ht="15.75" customHeight="1">
      <c r="A53" s="49"/>
      <c r="B53" s="49"/>
      <c r="C53" s="52"/>
      <c r="D53" s="54"/>
      <c r="E53" s="49"/>
      <c r="F53" s="49"/>
      <c r="G53" s="49"/>
      <c r="H53" s="49"/>
      <c r="I53" s="49"/>
      <c r="J53" s="49"/>
      <c r="K53" s="106"/>
      <c r="L53" s="55"/>
      <c r="M53" s="52"/>
      <c r="N53" s="55"/>
      <c r="O53" s="54"/>
    </row>
    <row r="54" ht="15.75" customHeight="1">
      <c r="A54" s="49"/>
      <c r="B54" s="49"/>
      <c r="C54" s="52"/>
      <c r="D54" s="54"/>
      <c r="E54" s="49"/>
      <c r="F54" s="49"/>
      <c r="G54" s="49"/>
      <c r="H54" s="49"/>
      <c r="I54" s="49"/>
      <c r="J54" s="49"/>
      <c r="K54" s="106"/>
      <c r="L54" s="55"/>
      <c r="M54" s="52"/>
      <c r="N54" s="55"/>
      <c r="O54" s="54"/>
    </row>
    <row r="55" ht="15.75" customHeight="1">
      <c r="A55" s="49"/>
      <c r="B55" s="49"/>
      <c r="C55" s="52"/>
      <c r="D55" s="54"/>
      <c r="E55" s="49"/>
      <c r="F55" s="49"/>
      <c r="G55" s="49"/>
      <c r="H55" s="49"/>
      <c r="I55" s="49"/>
      <c r="J55" s="49"/>
      <c r="K55" s="106"/>
      <c r="L55" s="55"/>
      <c r="M55" s="74"/>
      <c r="N55" s="76"/>
      <c r="O55" s="75"/>
    </row>
    <row r="56" ht="15.75" customHeight="1">
      <c r="A56" s="57"/>
      <c r="B56" s="57"/>
      <c r="C56" s="58"/>
      <c r="D56" s="59"/>
      <c r="E56" s="57"/>
      <c r="F56" s="57"/>
      <c r="G56" s="49"/>
      <c r="H56" s="49"/>
      <c r="I56" s="49"/>
      <c r="J56" s="49"/>
      <c r="K56" s="106"/>
      <c r="L56" s="61"/>
      <c r="M56" s="45"/>
      <c r="N56" s="34"/>
      <c r="O56" s="50"/>
    </row>
    <row r="57" ht="15.75" customHeight="1">
      <c r="A57" s="49"/>
      <c r="B57" s="49"/>
      <c r="C57" s="52"/>
      <c r="D57" s="54"/>
      <c r="E57" s="49"/>
      <c r="F57" s="49"/>
      <c r="G57" s="49"/>
      <c r="H57" s="49"/>
      <c r="I57" s="49"/>
      <c r="J57" s="49"/>
      <c r="K57" s="106"/>
      <c r="L57" s="55"/>
      <c r="M57" s="45"/>
      <c r="N57" s="34"/>
      <c r="O57" s="50"/>
    </row>
    <row r="58" ht="15.75" customHeight="1">
      <c r="A58" s="49"/>
      <c r="B58" s="49"/>
      <c r="C58" s="52"/>
      <c r="D58" s="54"/>
      <c r="E58" s="49"/>
      <c r="F58" s="49"/>
      <c r="G58" s="49"/>
      <c r="H58" s="49"/>
      <c r="I58" s="49"/>
      <c r="J58" s="49"/>
      <c r="K58" s="106"/>
      <c r="L58" s="55"/>
      <c r="M58" s="45"/>
      <c r="N58" s="34"/>
      <c r="O58" s="50"/>
    </row>
    <row r="59" ht="15.75" customHeight="1">
      <c r="A59" s="49"/>
      <c r="B59" s="49"/>
      <c r="C59" s="52"/>
      <c r="D59" s="54"/>
      <c r="E59" s="49"/>
      <c r="F59" s="49"/>
      <c r="G59" s="49"/>
      <c r="H59" s="49"/>
      <c r="I59" s="49"/>
      <c r="J59" s="49"/>
      <c r="K59" s="106"/>
      <c r="L59" s="55"/>
      <c r="M59" s="45"/>
      <c r="N59" s="34"/>
      <c r="O59" s="50"/>
    </row>
    <row r="60" ht="15.75" customHeight="1">
      <c r="A60" s="107" t="s">
        <v>64</v>
      </c>
      <c r="B60" s="108"/>
      <c r="C60" s="109"/>
      <c r="D60" s="110"/>
      <c r="E60" s="108"/>
      <c r="F60" s="108"/>
      <c r="G60" s="108"/>
      <c r="H60" s="108"/>
      <c r="I60" s="108"/>
      <c r="J60" s="108"/>
      <c r="K60" s="108"/>
      <c r="L60" s="113"/>
      <c r="M60" s="114">
        <f t="shared" ref="M60:N60" si="8">SUM(M61:M79)</f>
        <v>0</v>
      </c>
      <c r="N60" s="113">
        <f t="shared" si="8"/>
        <v>0</v>
      </c>
      <c r="O60" s="115">
        <f>AVERAGE(O61:O79)</f>
        <v>0</v>
      </c>
    </row>
    <row r="61" ht="15.75" customHeight="1">
      <c r="A61" s="57"/>
      <c r="B61" s="57"/>
      <c r="C61" s="58"/>
      <c r="D61" s="59"/>
      <c r="E61" s="57"/>
      <c r="F61" s="57"/>
      <c r="G61" s="49"/>
      <c r="H61" s="49"/>
      <c r="I61" s="49"/>
      <c r="J61" s="49"/>
      <c r="K61" s="106"/>
      <c r="L61" s="61"/>
      <c r="M61" s="45"/>
      <c r="N61" s="34"/>
      <c r="O61" s="50">
        <v>0.0</v>
      </c>
    </row>
    <row r="62" ht="15.75" customHeight="1">
      <c r="A62" s="49"/>
      <c r="B62" s="49"/>
      <c r="C62" s="52"/>
      <c r="D62" s="54"/>
      <c r="E62" s="49"/>
      <c r="F62" s="49"/>
      <c r="G62" s="49"/>
      <c r="H62" s="49"/>
      <c r="I62" s="49"/>
      <c r="J62" s="49"/>
      <c r="K62" s="106"/>
      <c r="L62" s="55"/>
      <c r="M62" s="45"/>
      <c r="N62" s="34"/>
      <c r="O62" s="50"/>
    </row>
    <row r="63" ht="15.75" customHeight="1">
      <c r="A63" s="49"/>
      <c r="B63" s="49"/>
      <c r="C63" s="52"/>
      <c r="D63" s="54"/>
      <c r="E63" s="49"/>
      <c r="F63" s="49"/>
      <c r="G63" s="49"/>
      <c r="H63" s="49"/>
      <c r="I63" s="49"/>
      <c r="J63" s="49"/>
      <c r="K63" s="106"/>
      <c r="L63" s="55"/>
      <c r="M63" s="45"/>
      <c r="N63" s="34"/>
      <c r="O63" s="50"/>
    </row>
    <row r="64" ht="15.75" customHeight="1">
      <c r="A64" s="49"/>
      <c r="B64" s="49"/>
      <c r="C64" s="52"/>
      <c r="D64" s="54"/>
      <c r="E64" s="49"/>
      <c r="F64" s="49"/>
      <c r="G64" s="49"/>
      <c r="H64" s="49"/>
      <c r="I64" s="49"/>
      <c r="J64" s="49"/>
      <c r="K64" s="106"/>
      <c r="L64" s="55"/>
      <c r="M64" s="45"/>
      <c r="N64" s="34"/>
      <c r="O64" s="50"/>
    </row>
    <row r="65" ht="15.75" customHeight="1">
      <c r="A65" s="49"/>
      <c r="B65" s="49"/>
      <c r="C65" s="52"/>
      <c r="D65" s="54"/>
      <c r="E65" s="49"/>
      <c r="F65" s="49"/>
      <c r="G65" s="49"/>
      <c r="H65" s="49"/>
      <c r="I65" s="49"/>
      <c r="J65" s="49"/>
      <c r="K65" s="106"/>
      <c r="L65" s="55"/>
      <c r="M65" s="45"/>
      <c r="N65" s="34"/>
      <c r="O65" s="50"/>
    </row>
    <row r="66" ht="15.75" customHeight="1">
      <c r="A66" s="73"/>
      <c r="B66" s="73"/>
      <c r="C66" s="74"/>
      <c r="D66" s="75"/>
      <c r="E66" s="73"/>
      <c r="F66" s="73"/>
      <c r="G66" s="49"/>
      <c r="H66" s="49"/>
      <c r="I66" s="49"/>
      <c r="J66" s="49"/>
      <c r="K66" s="106"/>
      <c r="L66" s="76"/>
      <c r="M66" s="45"/>
      <c r="N66" s="34"/>
      <c r="O66" s="50"/>
    </row>
    <row r="67" ht="15.75" customHeight="1">
      <c r="A67" s="28"/>
      <c r="B67" s="28"/>
      <c r="C67" s="45"/>
      <c r="D67" s="50"/>
      <c r="E67" s="28"/>
      <c r="F67" s="28"/>
      <c r="G67" s="49"/>
      <c r="H67" s="49"/>
      <c r="I67" s="49"/>
      <c r="J67" s="49"/>
      <c r="K67" s="106"/>
      <c r="L67" s="34"/>
      <c r="M67" s="45"/>
      <c r="N67" s="34"/>
      <c r="O67" s="50"/>
    </row>
    <row r="68" ht="15.75" customHeight="1">
      <c r="A68" s="28"/>
      <c r="B68" s="28"/>
      <c r="C68" s="45"/>
      <c r="D68" s="50"/>
      <c r="E68" s="28"/>
      <c r="F68" s="28"/>
      <c r="G68" s="49"/>
      <c r="H68" s="49"/>
      <c r="I68" s="49"/>
      <c r="J68" s="49"/>
      <c r="K68" s="106"/>
      <c r="L68" s="34"/>
      <c r="M68" s="45"/>
      <c r="N68" s="34"/>
      <c r="O68" s="50"/>
    </row>
    <row r="69" ht="15.75" customHeight="1">
      <c r="A69" s="28"/>
      <c r="B69" s="28"/>
      <c r="C69" s="45"/>
      <c r="D69" s="50"/>
      <c r="E69" s="28"/>
      <c r="F69" s="28"/>
      <c r="G69" s="49"/>
      <c r="H69" s="49"/>
      <c r="I69" s="49"/>
      <c r="J69" s="49"/>
      <c r="K69" s="106"/>
      <c r="L69" s="34"/>
      <c r="M69" s="45"/>
      <c r="N69" s="34"/>
      <c r="O69" s="50"/>
    </row>
    <row r="70" ht="15.75" customHeight="1">
      <c r="A70" s="28"/>
      <c r="B70" s="28"/>
      <c r="C70" s="45"/>
      <c r="D70" s="50"/>
      <c r="E70" s="28"/>
      <c r="F70" s="28"/>
      <c r="G70" s="49"/>
      <c r="H70" s="49"/>
      <c r="I70" s="49"/>
      <c r="J70" s="49"/>
      <c r="K70" s="106"/>
      <c r="L70" s="34"/>
      <c r="M70" s="45"/>
      <c r="N70" s="34"/>
      <c r="O70" s="50"/>
    </row>
    <row r="71" ht="15.75" customHeight="1">
      <c r="A71" s="28"/>
      <c r="B71" s="28"/>
      <c r="C71" s="45"/>
      <c r="D71" s="50"/>
      <c r="E71" s="28"/>
      <c r="F71" s="28"/>
      <c r="G71" s="49"/>
      <c r="H71" s="49"/>
      <c r="I71" s="49"/>
      <c r="J71" s="49"/>
      <c r="K71" s="106"/>
      <c r="L71" s="34"/>
      <c r="M71" s="45"/>
      <c r="N71" s="34"/>
      <c r="O71" s="50"/>
    </row>
    <row r="72" ht="15.75" customHeight="1">
      <c r="A72" s="28"/>
      <c r="B72" s="28"/>
      <c r="C72" s="45"/>
      <c r="D72" s="50"/>
      <c r="E72" s="28"/>
      <c r="F72" s="28"/>
      <c r="G72" s="49"/>
      <c r="H72" s="49"/>
      <c r="I72" s="49"/>
      <c r="J72" s="49"/>
      <c r="K72" s="106"/>
      <c r="L72" s="34"/>
      <c r="M72" s="45"/>
      <c r="N72" s="34"/>
      <c r="O72" s="50"/>
    </row>
    <row r="73" ht="15.75" customHeight="1">
      <c r="A73" s="28"/>
      <c r="B73" s="28"/>
      <c r="C73" s="45"/>
      <c r="D73" s="50"/>
      <c r="E73" s="28"/>
      <c r="F73" s="28"/>
      <c r="G73" s="49"/>
      <c r="H73" s="49"/>
      <c r="I73" s="49"/>
      <c r="J73" s="49"/>
      <c r="K73" s="106"/>
      <c r="L73" s="34"/>
      <c r="M73" s="45"/>
      <c r="N73" s="34"/>
      <c r="O73" s="50"/>
    </row>
    <row r="74" ht="15.75" customHeight="1">
      <c r="A74" s="28"/>
      <c r="B74" s="28"/>
      <c r="C74" s="45"/>
      <c r="D74" s="50"/>
      <c r="E74" s="28"/>
      <c r="F74" s="28"/>
      <c r="G74" s="49"/>
      <c r="H74" s="49"/>
      <c r="I74" s="49"/>
      <c r="J74" s="49"/>
      <c r="K74" s="106"/>
      <c r="L74" s="34"/>
      <c r="M74" s="45"/>
      <c r="N74" s="34"/>
      <c r="O74" s="50"/>
    </row>
    <row r="75" ht="15.75" customHeight="1">
      <c r="A75" s="28"/>
      <c r="B75" s="28"/>
      <c r="C75" s="45"/>
      <c r="D75" s="50"/>
      <c r="E75" s="28"/>
      <c r="F75" s="28"/>
      <c r="G75" s="49"/>
      <c r="H75" s="49"/>
      <c r="I75" s="49"/>
      <c r="J75" s="49"/>
      <c r="K75" s="106"/>
      <c r="L75" s="34"/>
      <c r="M75" s="45"/>
      <c r="N75" s="34"/>
      <c r="O75" s="50"/>
    </row>
    <row r="76" ht="15.75" customHeight="1">
      <c r="A76" s="28"/>
      <c r="B76" s="28"/>
      <c r="C76" s="45"/>
      <c r="D76" s="50"/>
      <c r="E76" s="28"/>
      <c r="F76" s="28"/>
      <c r="G76" s="49"/>
      <c r="H76" s="49"/>
      <c r="I76" s="49"/>
      <c r="J76" s="49"/>
      <c r="K76" s="106"/>
      <c r="L76" s="34"/>
      <c r="M76" s="45"/>
      <c r="N76" s="34"/>
      <c r="O76" s="50"/>
    </row>
    <row r="77" ht="15.75" customHeight="1">
      <c r="A77" s="28"/>
      <c r="B77" s="28"/>
      <c r="C77" s="45"/>
      <c r="D77" s="50"/>
      <c r="E77" s="28"/>
      <c r="F77" s="28"/>
      <c r="G77" s="49"/>
      <c r="H77" s="49"/>
      <c r="I77" s="49"/>
      <c r="J77" s="49"/>
      <c r="K77" s="106"/>
      <c r="L77" s="34"/>
      <c r="M77" s="45"/>
      <c r="N77" s="34"/>
      <c r="O77" s="50"/>
    </row>
    <row r="78" ht="15.75" customHeight="1">
      <c r="A78" s="28"/>
      <c r="B78" s="28"/>
      <c r="C78" s="45"/>
      <c r="D78" s="50"/>
      <c r="E78" s="28"/>
      <c r="F78" s="28"/>
      <c r="G78" s="49"/>
      <c r="H78" s="49"/>
      <c r="I78" s="49"/>
      <c r="J78" s="49"/>
      <c r="K78" s="106"/>
      <c r="L78" s="34"/>
      <c r="M78" s="45"/>
      <c r="N78" s="34"/>
      <c r="O78" s="50"/>
    </row>
    <row r="79" ht="15.75" customHeight="1">
      <c r="A79" s="28"/>
      <c r="B79" s="28"/>
      <c r="C79" s="45"/>
      <c r="D79" s="50"/>
      <c r="E79" s="28"/>
      <c r="F79" s="28"/>
      <c r="G79" s="49"/>
      <c r="H79" s="49"/>
      <c r="I79" s="49"/>
      <c r="J79" s="49"/>
      <c r="K79" s="106"/>
      <c r="L79" s="34"/>
      <c r="M79" s="45"/>
      <c r="N79" s="34"/>
      <c r="O79" s="50"/>
    </row>
    <row r="80" ht="15.75" customHeight="1">
      <c r="A80" s="107" t="s">
        <v>66</v>
      </c>
      <c r="B80" s="108"/>
      <c r="C80" s="109"/>
      <c r="D80" s="110"/>
      <c r="E80" s="108"/>
      <c r="F80" s="108"/>
      <c r="G80" s="108"/>
      <c r="H80" s="108"/>
      <c r="I80" s="108"/>
      <c r="J80" s="108"/>
      <c r="K80" s="108"/>
      <c r="L80" s="113"/>
      <c r="M80" s="114">
        <f t="shared" ref="M80:N80" si="9">SUM(M81:M99)</f>
        <v>0</v>
      </c>
      <c r="N80" s="113">
        <f t="shared" si="9"/>
        <v>0</v>
      </c>
      <c r="O80" s="115">
        <f>AVERAGE(O81:O99)</f>
        <v>0</v>
      </c>
    </row>
    <row r="81" ht="15.75" customHeight="1">
      <c r="A81" s="28"/>
      <c r="B81" s="28"/>
      <c r="C81" s="45"/>
      <c r="D81" s="50"/>
      <c r="E81" s="28"/>
      <c r="F81" s="28"/>
      <c r="G81" s="49"/>
      <c r="H81" s="49"/>
      <c r="I81" s="49"/>
      <c r="J81" s="49"/>
      <c r="K81" s="106"/>
      <c r="L81" s="34"/>
      <c r="M81" s="45"/>
      <c r="N81" s="34"/>
      <c r="O81" s="50">
        <v>0.0</v>
      </c>
    </row>
    <row r="82" ht="15.75" customHeight="1">
      <c r="A82" s="28"/>
      <c r="B82" s="28"/>
      <c r="C82" s="45"/>
      <c r="D82" s="50"/>
      <c r="E82" s="28"/>
      <c r="F82" s="28"/>
      <c r="G82" s="49"/>
      <c r="H82" s="49"/>
      <c r="I82" s="49"/>
      <c r="J82" s="49"/>
      <c r="K82" s="106"/>
      <c r="L82" s="34"/>
      <c r="M82" s="45"/>
      <c r="N82" s="34"/>
      <c r="O82" s="50"/>
    </row>
    <row r="83" ht="15.75" customHeight="1">
      <c r="A83" s="28"/>
      <c r="B83" s="28"/>
      <c r="C83" s="45"/>
      <c r="D83" s="50"/>
      <c r="E83" s="28"/>
      <c r="F83" s="28"/>
      <c r="G83" s="49"/>
      <c r="H83" s="49"/>
      <c r="I83" s="49"/>
      <c r="J83" s="49"/>
      <c r="K83" s="106"/>
      <c r="L83" s="34"/>
      <c r="M83" s="45"/>
      <c r="N83" s="34"/>
      <c r="O83" s="50"/>
    </row>
    <row r="84" ht="15.75" customHeight="1">
      <c r="A84" s="28"/>
      <c r="B84" s="28"/>
      <c r="C84" s="45"/>
      <c r="D84" s="50"/>
      <c r="E84" s="28"/>
      <c r="F84" s="28"/>
      <c r="G84" s="49"/>
      <c r="H84" s="49"/>
      <c r="I84" s="49"/>
      <c r="J84" s="49"/>
      <c r="K84" s="106"/>
      <c r="L84" s="34"/>
      <c r="M84" s="45"/>
      <c r="N84" s="34"/>
      <c r="O84" s="50"/>
    </row>
    <row r="85" ht="15.75" customHeight="1">
      <c r="A85" s="28"/>
      <c r="B85" s="28"/>
      <c r="C85" s="45"/>
      <c r="D85" s="50"/>
      <c r="E85" s="28"/>
      <c r="F85" s="28"/>
      <c r="G85" s="49"/>
      <c r="H85" s="49"/>
      <c r="I85" s="49"/>
      <c r="J85" s="49"/>
      <c r="K85" s="106"/>
      <c r="L85" s="34"/>
      <c r="M85" s="45"/>
      <c r="N85" s="34"/>
      <c r="O85" s="50"/>
    </row>
    <row r="86" ht="15.75" customHeight="1">
      <c r="A86" s="28"/>
      <c r="B86" s="28"/>
      <c r="C86" s="45"/>
      <c r="D86" s="50"/>
      <c r="E86" s="28"/>
      <c r="F86" s="28"/>
      <c r="G86" s="49"/>
      <c r="H86" s="49"/>
      <c r="I86" s="49"/>
      <c r="J86" s="49"/>
      <c r="K86" s="106"/>
      <c r="L86" s="34"/>
      <c r="M86" s="45"/>
      <c r="N86" s="34"/>
      <c r="O86" s="50"/>
    </row>
    <row r="87" ht="15.75" customHeight="1">
      <c r="A87" s="28"/>
      <c r="B87" s="28"/>
      <c r="C87" s="45"/>
      <c r="D87" s="50"/>
      <c r="E87" s="28"/>
      <c r="F87" s="28"/>
      <c r="G87" s="49"/>
      <c r="H87" s="49"/>
      <c r="I87" s="49"/>
      <c r="J87" s="49"/>
      <c r="K87" s="106"/>
      <c r="L87" s="34"/>
      <c r="M87" s="45"/>
      <c r="N87" s="34"/>
      <c r="O87" s="50"/>
    </row>
    <row r="88" ht="15.75" customHeight="1">
      <c r="A88" s="28"/>
      <c r="B88" s="28"/>
      <c r="C88" s="45"/>
      <c r="D88" s="50"/>
      <c r="E88" s="28"/>
      <c r="F88" s="28"/>
      <c r="G88" s="49"/>
      <c r="H88" s="49"/>
      <c r="I88" s="49"/>
      <c r="J88" s="49"/>
      <c r="K88" s="106"/>
      <c r="L88" s="34"/>
      <c r="M88" s="45"/>
      <c r="N88" s="34"/>
      <c r="O88" s="50"/>
    </row>
    <row r="89" ht="15.75" customHeight="1">
      <c r="A89" s="28"/>
      <c r="B89" s="28"/>
      <c r="C89" s="45"/>
      <c r="D89" s="50"/>
      <c r="E89" s="28"/>
      <c r="F89" s="28"/>
      <c r="G89" s="49"/>
      <c r="H89" s="49"/>
      <c r="I89" s="49"/>
      <c r="J89" s="49"/>
      <c r="K89" s="106"/>
      <c r="L89" s="34"/>
      <c r="M89" s="45"/>
      <c r="N89" s="34"/>
      <c r="O89" s="50"/>
    </row>
    <row r="90" ht="15.75" customHeight="1">
      <c r="A90" s="28"/>
      <c r="B90" s="28"/>
      <c r="C90" s="45"/>
      <c r="D90" s="50"/>
      <c r="E90" s="28"/>
      <c r="F90" s="28"/>
      <c r="G90" s="49"/>
      <c r="H90" s="49"/>
      <c r="I90" s="49"/>
      <c r="J90" s="49"/>
      <c r="K90" s="106"/>
      <c r="L90" s="34"/>
      <c r="M90" s="45"/>
      <c r="N90" s="34"/>
      <c r="O90" s="50"/>
    </row>
    <row r="91" ht="15.75" customHeight="1">
      <c r="A91" s="28"/>
      <c r="B91" s="28"/>
      <c r="C91" s="45"/>
      <c r="D91" s="50"/>
      <c r="E91" s="28"/>
      <c r="F91" s="28"/>
      <c r="G91" s="49"/>
      <c r="H91" s="49"/>
      <c r="I91" s="49"/>
      <c r="J91" s="49"/>
      <c r="K91" s="106"/>
      <c r="L91" s="34"/>
      <c r="M91" s="45"/>
      <c r="N91" s="34"/>
      <c r="O91" s="50"/>
    </row>
    <row r="92" ht="15.75" customHeight="1">
      <c r="A92" s="28"/>
      <c r="B92" s="28"/>
      <c r="C92" s="45"/>
      <c r="D92" s="50"/>
      <c r="E92" s="28"/>
      <c r="F92" s="28"/>
      <c r="G92" s="49"/>
      <c r="H92" s="49"/>
      <c r="I92" s="49"/>
      <c r="J92" s="49"/>
      <c r="K92" s="106"/>
      <c r="L92" s="34"/>
      <c r="M92" s="45"/>
      <c r="N92" s="34"/>
      <c r="O92" s="50"/>
    </row>
    <row r="93" ht="15.75" customHeight="1">
      <c r="A93" s="28"/>
      <c r="B93" s="28"/>
      <c r="C93" s="45"/>
      <c r="D93" s="50"/>
      <c r="E93" s="28"/>
      <c r="F93" s="28"/>
      <c r="G93" s="49"/>
      <c r="H93" s="49"/>
      <c r="I93" s="49"/>
      <c r="J93" s="49"/>
      <c r="K93" s="106"/>
      <c r="L93" s="34"/>
      <c r="M93" s="45"/>
      <c r="N93" s="34"/>
      <c r="O93" s="50"/>
    </row>
    <row r="94" ht="15.75" customHeight="1">
      <c r="A94" s="28"/>
      <c r="B94" s="28"/>
      <c r="C94" s="45"/>
      <c r="D94" s="50"/>
      <c r="E94" s="28"/>
      <c r="F94" s="28"/>
      <c r="G94" s="49"/>
      <c r="H94" s="49"/>
      <c r="I94" s="49"/>
      <c r="J94" s="49"/>
      <c r="K94" s="106"/>
      <c r="L94" s="34"/>
      <c r="M94" s="45"/>
      <c r="N94" s="34"/>
      <c r="O94" s="50"/>
    </row>
    <row r="95" ht="15.75" customHeight="1">
      <c r="A95" s="28"/>
      <c r="B95" s="28"/>
      <c r="C95" s="45"/>
      <c r="D95" s="50"/>
      <c r="E95" s="28"/>
      <c r="F95" s="28"/>
      <c r="G95" s="49"/>
      <c r="H95" s="49"/>
      <c r="I95" s="49"/>
      <c r="J95" s="49"/>
      <c r="K95" s="106"/>
      <c r="L95" s="34"/>
      <c r="M95" s="45"/>
      <c r="N95" s="34"/>
      <c r="O95" s="50"/>
    </row>
    <row r="96" ht="15.75" customHeight="1">
      <c r="A96" s="28"/>
      <c r="B96" s="28"/>
      <c r="C96" s="45"/>
      <c r="D96" s="50"/>
      <c r="E96" s="28"/>
      <c r="F96" s="28"/>
      <c r="G96" s="49"/>
      <c r="H96" s="49"/>
      <c r="I96" s="49"/>
      <c r="J96" s="49"/>
      <c r="K96" s="106"/>
      <c r="L96" s="34"/>
      <c r="M96" s="45"/>
      <c r="N96" s="34"/>
      <c r="O96" s="50"/>
    </row>
    <row r="97" ht="15.75" customHeight="1">
      <c r="A97" s="28"/>
      <c r="B97" s="28"/>
      <c r="C97" s="45"/>
      <c r="D97" s="50"/>
      <c r="E97" s="28"/>
      <c r="F97" s="28"/>
      <c r="G97" s="49"/>
      <c r="H97" s="49"/>
      <c r="I97" s="49"/>
      <c r="J97" s="49"/>
      <c r="K97" s="106"/>
      <c r="L97" s="34"/>
      <c r="M97" s="45"/>
      <c r="N97" s="34"/>
      <c r="O97" s="50"/>
    </row>
    <row r="98" ht="15.75" customHeight="1">
      <c r="A98" s="28"/>
      <c r="B98" s="28"/>
      <c r="C98" s="45"/>
      <c r="D98" s="50"/>
      <c r="E98" s="28"/>
      <c r="F98" s="28"/>
      <c r="G98" s="49"/>
      <c r="H98" s="49"/>
      <c r="I98" s="49"/>
      <c r="J98" s="49"/>
      <c r="K98" s="106"/>
      <c r="L98" s="34"/>
      <c r="M98" s="45"/>
      <c r="N98" s="34"/>
      <c r="O98" s="50"/>
    </row>
    <row r="99" ht="15.75" customHeight="1">
      <c r="A99" s="28"/>
      <c r="B99" s="28"/>
      <c r="C99" s="45"/>
      <c r="D99" s="50"/>
      <c r="E99" s="28"/>
      <c r="F99" s="28"/>
      <c r="G99" s="49"/>
      <c r="H99" s="49"/>
      <c r="I99" s="49"/>
      <c r="J99" s="49"/>
      <c r="K99" s="106"/>
      <c r="L99" s="34"/>
      <c r="M99" s="45"/>
      <c r="N99" s="34"/>
      <c r="O99" s="50"/>
    </row>
    <row r="100" ht="15.75" customHeight="1">
      <c r="A100" s="107" t="s">
        <v>67</v>
      </c>
      <c r="B100" s="108"/>
      <c r="C100" s="109"/>
      <c r="D100" s="110"/>
      <c r="E100" s="108"/>
      <c r="F100" s="108"/>
      <c r="G100" s="108"/>
      <c r="H100" s="108"/>
      <c r="I100" s="108"/>
      <c r="J100" s="108"/>
      <c r="K100" s="108"/>
      <c r="L100" s="113"/>
      <c r="M100" s="114">
        <f t="shared" ref="M100:N100" si="10">SUM(M101:M119)</f>
        <v>0</v>
      </c>
      <c r="N100" s="113">
        <f t="shared" si="10"/>
        <v>0</v>
      </c>
      <c r="O100" s="115">
        <f>AVERAGE(O101:O119)</f>
        <v>0</v>
      </c>
    </row>
    <row r="101" ht="15.75" customHeight="1">
      <c r="A101" s="28"/>
      <c r="B101" s="28"/>
      <c r="C101" s="45"/>
      <c r="D101" s="50"/>
      <c r="E101" s="28"/>
      <c r="F101" s="28"/>
      <c r="G101" s="49"/>
      <c r="H101" s="49"/>
      <c r="I101" s="49"/>
      <c r="J101" s="49"/>
      <c r="K101" s="106"/>
      <c r="L101" s="34"/>
      <c r="M101" s="45"/>
      <c r="N101" s="34"/>
      <c r="O101" s="50">
        <v>0.0</v>
      </c>
    </row>
    <row r="102" ht="15.75" customHeight="1">
      <c r="A102" s="28"/>
      <c r="B102" s="28"/>
      <c r="C102" s="45"/>
      <c r="D102" s="50"/>
      <c r="E102" s="28"/>
      <c r="F102" s="28"/>
      <c r="G102" s="49"/>
      <c r="H102" s="49"/>
      <c r="I102" s="49"/>
      <c r="J102" s="49"/>
      <c r="K102" s="106"/>
      <c r="L102" s="34"/>
      <c r="M102" s="45"/>
      <c r="N102" s="34"/>
      <c r="O102" s="50"/>
    </row>
    <row r="103" ht="15.75" customHeight="1">
      <c r="A103" s="28"/>
      <c r="B103" s="28"/>
      <c r="C103" s="45"/>
      <c r="D103" s="50"/>
      <c r="E103" s="28"/>
      <c r="F103" s="28"/>
      <c r="G103" s="49"/>
      <c r="H103" s="49"/>
      <c r="I103" s="49"/>
      <c r="J103" s="49"/>
      <c r="K103" s="106"/>
      <c r="L103" s="34"/>
      <c r="M103" s="45"/>
      <c r="N103" s="34"/>
      <c r="O103" s="50"/>
    </row>
    <row r="104" ht="15.75" customHeight="1">
      <c r="A104" s="28"/>
      <c r="B104" s="28"/>
      <c r="C104" s="45"/>
      <c r="D104" s="50"/>
      <c r="E104" s="28"/>
      <c r="F104" s="28"/>
      <c r="G104" s="49"/>
      <c r="H104" s="49"/>
      <c r="I104" s="49"/>
      <c r="J104" s="49"/>
      <c r="K104" s="106"/>
      <c r="L104" s="34"/>
      <c r="M104" s="45"/>
      <c r="N104" s="34"/>
      <c r="O104" s="50"/>
    </row>
    <row r="105" ht="15.75" customHeight="1">
      <c r="A105" s="28"/>
      <c r="B105" s="28"/>
      <c r="C105" s="45"/>
      <c r="D105" s="50"/>
      <c r="E105" s="28"/>
      <c r="F105" s="28"/>
      <c r="G105" s="49"/>
      <c r="H105" s="49"/>
      <c r="I105" s="49"/>
      <c r="J105" s="49"/>
      <c r="K105" s="106"/>
      <c r="L105" s="34"/>
      <c r="M105" s="45"/>
      <c r="N105" s="34"/>
      <c r="O105" s="50"/>
    </row>
    <row r="106" ht="15.75" customHeight="1">
      <c r="A106" s="28"/>
      <c r="B106" s="28"/>
      <c r="C106" s="45"/>
      <c r="D106" s="50"/>
      <c r="E106" s="28"/>
      <c r="F106" s="28"/>
      <c r="G106" s="49"/>
      <c r="H106" s="49"/>
      <c r="I106" s="49"/>
      <c r="J106" s="49"/>
      <c r="K106" s="106"/>
      <c r="L106" s="34"/>
      <c r="M106" s="45"/>
      <c r="N106" s="34"/>
      <c r="O106" s="50"/>
    </row>
    <row r="107" ht="15.75" customHeight="1">
      <c r="A107" s="28"/>
      <c r="B107" s="28"/>
      <c r="C107" s="45"/>
      <c r="D107" s="50"/>
      <c r="E107" s="28"/>
      <c r="F107" s="28"/>
      <c r="G107" s="49"/>
      <c r="H107" s="49"/>
      <c r="I107" s="49"/>
      <c r="J107" s="49"/>
      <c r="K107" s="106"/>
      <c r="L107" s="34"/>
      <c r="M107" s="45"/>
      <c r="N107" s="34"/>
      <c r="O107" s="50"/>
    </row>
    <row r="108" ht="15.75" customHeight="1">
      <c r="A108" s="28"/>
      <c r="B108" s="28"/>
      <c r="C108" s="45"/>
      <c r="D108" s="50"/>
      <c r="E108" s="28"/>
      <c r="F108" s="28"/>
      <c r="G108" s="49"/>
      <c r="H108" s="49"/>
      <c r="I108" s="49"/>
      <c r="J108" s="49"/>
      <c r="K108" s="106"/>
      <c r="L108" s="34"/>
      <c r="M108" s="45"/>
      <c r="N108" s="34"/>
      <c r="O108" s="50"/>
    </row>
    <row r="109" ht="15.75" customHeight="1">
      <c r="A109" s="28"/>
      <c r="B109" s="28"/>
      <c r="C109" s="45"/>
      <c r="D109" s="50"/>
      <c r="E109" s="28"/>
      <c r="F109" s="28"/>
      <c r="G109" s="49"/>
      <c r="H109" s="49"/>
      <c r="I109" s="49"/>
      <c r="J109" s="49"/>
      <c r="K109" s="106"/>
      <c r="L109" s="34"/>
      <c r="M109" s="45"/>
      <c r="N109" s="34"/>
      <c r="O109" s="50"/>
    </row>
    <row r="110" ht="15.75" customHeight="1">
      <c r="A110" s="28"/>
      <c r="B110" s="28"/>
      <c r="C110" s="45"/>
      <c r="D110" s="50"/>
      <c r="E110" s="28"/>
      <c r="F110" s="28"/>
      <c r="G110" s="49"/>
      <c r="H110" s="49"/>
      <c r="I110" s="49"/>
      <c r="J110" s="49"/>
      <c r="K110" s="106"/>
      <c r="L110" s="34"/>
      <c r="M110" s="45"/>
      <c r="N110" s="34"/>
      <c r="O110" s="50"/>
    </row>
    <row r="111" ht="15.75" customHeight="1">
      <c r="A111" s="28"/>
      <c r="B111" s="28"/>
      <c r="C111" s="45"/>
      <c r="D111" s="50"/>
      <c r="E111" s="28"/>
      <c r="F111" s="28"/>
      <c r="G111" s="49"/>
      <c r="H111" s="49"/>
      <c r="I111" s="49"/>
      <c r="J111" s="49"/>
      <c r="K111" s="106"/>
      <c r="L111" s="34"/>
      <c r="M111" s="45"/>
      <c r="N111" s="34"/>
      <c r="O111" s="50"/>
    </row>
    <row r="112" ht="15.75" customHeight="1">
      <c r="A112" s="28"/>
      <c r="B112" s="28"/>
      <c r="C112" s="45"/>
      <c r="D112" s="50"/>
      <c r="E112" s="28"/>
      <c r="F112" s="28"/>
      <c r="G112" s="49"/>
      <c r="H112" s="49"/>
      <c r="I112" s="49"/>
      <c r="J112" s="49"/>
      <c r="K112" s="106"/>
      <c r="L112" s="34"/>
      <c r="M112" s="45"/>
      <c r="N112" s="34"/>
      <c r="O112" s="50"/>
    </row>
    <row r="113" ht="15.75" customHeight="1">
      <c r="A113" s="28"/>
      <c r="B113" s="28"/>
      <c r="C113" s="45"/>
      <c r="D113" s="50"/>
      <c r="E113" s="28"/>
      <c r="F113" s="28"/>
      <c r="G113" s="49"/>
      <c r="H113" s="49"/>
      <c r="I113" s="49"/>
      <c r="J113" s="49"/>
      <c r="K113" s="106"/>
      <c r="L113" s="34"/>
      <c r="M113" s="45"/>
      <c r="N113" s="34"/>
      <c r="O113" s="50"/>
    </row>
    <row r="114" ht="15.75" customHeight="1">
      <c r="A114" s="28"/>
      <c r="B114" s="28"/>
      <c r="C114" s="45"/>
      <c r="D114" s="50"/>
      <c r="E114" s="28"/>
      <c r="F114" s="28"/>
      <c r="G114" s="49"/>
      <c r="H114" s="49"/>
      <c r="I114" s="49"/>
      <c r="J114" s="49"/>
      <c r="K114" s="106"/>
      <c r="L114" s="34"/>
      <c r="M114" s="45"/>
      <c r="N114" s="34"/>
      <c r="O114" s="50"/>
    </row>
    <row r="115" ht="15.75" customHeight="1">
      <c r="A115" s="28"/>
      <c r="B115" s="28"/>
      <c r="C115" s="45"/>
      <c r="D115" s="50"/>
      <c r="E115" s="28"/>
      <c r="F115" s="28"/>
      <c r="G115" s="49"/>
      <c r="H115" s="49"/>
      <c r="I115" s="49"/>
      <c r="J115" s="49"/>
      <c r="K115" s="106"/>
      <c r="L115" s="34"/>
      <c r="M115" s="45"/>
      <c r="N115" s="34"/>
      <c r="O115" s="50"/>
    </row>
    <row r="116" ht="15.75" customHeight="1">
      <c r="A116" s="28"/>
      <c r="B116" s="28"/>
      <c r="C116" s="45"/>
      <c r="D116" s="50"/>
      <c r="E116" s="28"/>
      <c r="F116" s="28"/>
      <c r="G116" s="49"/>
      <c r="H116" s="49"/>
      <c r="I116" s="49"/>
      <c r="J116" s="49"/>
      <c r="K116" s="106"/>
      <c r="L116" s="34"/>
      <c r="M116" s="45"/>
      <c r="N116" s="34"/>
      <c r="O116" s="50"/>
    </row>
    <row r="117" ht="15.75" customHeight="1">
      <c r="A117" s="28"/>
      <c r="B117" s="28"/>
      <c r="C117" s="45"/>
      <c r="D117" s="50"/>
      <c r="E117" s="28"/>
      <c r="F117" s="28"/>
      <c r="G117" s="49"/>
      <c r="H117" s="49"/>
      <c r="I117" s="49"/>
      <c r="J117" s="49"/>
      <c r="K117" s="106"/>
      <c r="L117" s="34"/>
      <c r="M117" s="45"/>
      <c r="N117" s="34"/>
      <c r="O117" s="50"/>
    </row>
    <row r="118" ht="15.75" customHeight="1">
      <c r="A118" s="28"/>
      <c r="B118" s="28"/>
      <c r="C118" s="45"/>
      <c r="D118" s="50"/>
      <c r="E118" s="28"/>
      <c r="F118" s="28"/>
      <c r="G118" s="49"/>
      <c r="H118" s="49"/>
      <c r="I118" s="49"/>
      <c r="J118" s="49"/>
      <c r="K118" s="106"/>
      <c r="L118" s="34"/>
      <c r="M118" s="45"/>
      <c r="N118" s="34"/>
      <c r="O118" s="50"/>
    </row>
    <row r="119" ht="15.75" customHeight="1">
      <c r="A119" s="28"/>
      <c r="B119" s="28"/>
      <c r="C119" s="45"/>
      <c r="D119" s="50"/>
      <c r="E119" s="28"/>
      <c r="F119" s="28"/>
      <c r="G119" s="49"/>
      <c r="H119" s="49"/>
      <c r="I119" s="49"/>
      <c r="J119" s="49"/>
      <c r="K119" s="106"/>
      <c r="L119" s="34"/>
      <c r="M119" s="45"/>
      <c r="N119" s="34"/>
      <c r="O119" s="50"/>
    </row>
    <row r="120" ht="15.75" customHeight="1">
      <c r="A120" s="107" t="s">
        <v>68</v>
      </c>
      <c r="B120" s="108"/>
      <c r="C120" s="109"/>
      <c r="D120" s="110"/>
      <c r="E120" s="108"/>
      <c r="F120" s="108"/>
      <c r="G120" s="108"/>
      <c r="H120" s="108"/>
      <c r="I120" s="108"/>
      <c r="J120" s="108"/>
      <c r="K120" s="108"/>
      <c r="L120" s="113"/>
      <c r="M120" s="114">
        <f t="shared" ref="M120:N120" si="11">SUM(M121:M139)</f>
        <v>0</v>
      </c>
      <c r="N120" s="113">
        <f t="shared" si="11"/>
        <v>0</v>
      </c>
      <c r="O120" s="115">
        <f>AVERAGE(O121:O139)</f>
        <v>0</v>
      </c>
    </row>
    <row r="121" ht="15.75" customHeight="1">
      <c r="A121" s="28"/>
      <c r="B121" s="28"/>
      <c r="C121" s="45"/>
      <c r="D121" s="50"/>
      <c r="E121" s="28"/>
      <c r="F121" s="28"/>
      <c r="G121" s="49"/>
      <c r="H121" s="49"/>
      <c r="I121" s="49"/>
      <c r="J121" s="49"/>
      <c r="K121" s="106"/>
      <c r="L121" s="34"/>
      <c r="M121" s="45"/>
      <c r="N121" s="34"/>
      <c r="O121" s="50">
        <v>0.0</v>
      </c>
    </row>
    <row r="122" ht="15.75" customHeight="1">
      <c r="A122" s="28"/>
      <c r="B122" s="28"/>
      <c r="C122" s="45"/>
      <c r="D122" s="50"/>
      <c r="E122" s="28"/>
      <c r="F122" s="28"/>
      <c r="G122" s="49"/>
      <c r="H122" s="49"/>
      <c r="I122" s="49"/>
      <c r="J122" s="49"/>
      <c r="K122" s="106"/>
      <c r="L122" s="34"/>
      <c r="M122" s="45"/>
      <c r="N122" s="34"/>
      <c r="O122" s="50"/>
    </row>
    <row r="123" ht="15.75" customHeight="1">
      <c r="A123" s="28"/>
      <c r="B123" s="28"/>
      <c r="C123" s="45"/>
      <c r="D123" s="50"/>
      <c r="E123" s="28"/>
      <c r="F123" s="28"/>
      <c r="G123" s="49"/>
      <c r="H123" s="49"/>
      <c r="I123" s="49"/>
      <c r="J123" s="49"/>
      <c r="K123" s="106"/>
      <c r="L123" s="34"/>
      <c r="M123" s="45"/>
      <c r="N123" s="34"/>
      <c r="O123" s="50"/>
    </row>
    <row r="124" ht="15.75" customHeight="1">
      <c r="A124" s="28"/>
      <c r="B124" s="28"/>
      <c r="C124" s="45"/>
      <c r="D124" s="50"/>
      <c r="E124" s="28"/>
      <c r="F124" s="28"/>
      <c r="G124" s="49"/>
      <c r="H124" s="49"/>
      <c r="I124" s="49"/>
      <c r="J124" s="49"/>
      <c r="K124" s="106"/>
      <c r="L124" s="34"/>
      <c r="M124" s="45"/>
      <c r="N124" s="34"/>
      <c r="O124" s="50"/>
    </row>
    <row r="125" ht="15.75" customHeight="1">
      <c r="A125" s="28"/>
      <c r="B125" s="28"/>
      <c r="C125" s="45"/>
      <c r="D125" s="50"/>
      <c r="E125" s="28"/>
      <c r="F125" s="28"/>
      <c r="G125" s="49"/>
      <c r="H125" s="49"/>
      <c r="I125" s="49"/>
      <c r="J125" s="49"/>
      <c r="K125" s="106"/>
      <c r="L125" s="34"/>
      <c r="M125" s="45"/>
      <c r="N125" s="34"/>
      <c r="O125" s="50"/>
    </row>
    <row r="126" ht="15.75" customHeight="1">
      <c r="A126" s="28"/>
      <c r="B126" s="28"/>
      <c r="C126" s="45"/>
      <c r="D126" s="50"/>
      <c r="E126" s="28"/>
      <c r="F126" s="28"/>
      <c r="G126" s="49"/>
      <c r="H126" s="49"/>
      <c r="I126" s="49"/>
      <c r="J126" s="49"/>
      <c r="K126" s="106"/>
      <c r="L126" s="34"/>
      <c r="M126" s="45"/>
      <c r="N126" s="34"/>
      <c r="O126" s="50"/>
    </row>
    <row r="127" ht="15.75" customHeight="1">
      <c r="A127" s="28"/>
      <c r="B127" s="28"/>
      <c r="C127" s="45"/>
      <c r="D127" s="50"/>
      <c r="E127" s="28"/>
      <c r="F127" s="28"/>
      <c r="G127" s="49"/>
      <c r="H127" s="49"/>
      <c r="I127" s="49"/>
      <c r="J127" s="49"/>
      <c r="K127" s="106"/>
      <c r="L127" s="34"/>
      <c r="M127" s="45"/>
      <c r="N127" s="34"/>
      <c r="O127" s="50"/>
    </row>
    <row r="128" ht="15.75" customHeight="1">
      <c r="A128" s="28"/>
      <c r="B128" s="28"/>
      <c r="C128" s="45"/>
      <c r="D128" s="50"/>
      <c r="E128" s="28"/>
      <c r="F128" s="28"/>
      <c r="G128" s="49"/>
      <c r="H128" s="49"/>
      <c r="I128" s="49"/>
      <c r="J128" s="49"/>
      <c r="K128" s="106"/>
      <c r="L128" s="34"/>
      <c r="M128" s="45"/>
      <c r="N128" s="34"/>
      <c r="O128" s="50"/>
    </row>
    <row r="129" ht="15.75" customHeight="1">
      <c r="A129" s="28"/>
      <c r="B129" s="28"/>
      <c r="C129" s="45"/>
      <c r="D129" s="50"/>
      <c r="E129" s="28"/>
      <c r="F129" s="28"/>
      <c r="G129" s="49"/>
      <c r="H129" s="49"/>
      <c r="I129" s="49"/>
      <c r="J129" s="49"/>
      <c r="K129" s="106"/>
      <c r="L129" s="34"/>
      <c r="M129" s="45"/>
      <c r="N129" s="34"/>
      <c r="O129" s="50"/>
    </row>
    <row r="130" ht="15.75" customHeight="1">
      <c r="A130" s="28"/>
      <c r="B130" s="28"/>
      <c r="C130" s="45"/>
      <c r="D130" s="50"/>
      <c r="E130" s="28"/>
      <c r="F130" s="28"/>
      <c r="G130" s="49"/>
      <c r="H130" s="49"/>
      <c r="I130" s="49"/>
      <c r="J130" s="49"/>
      <c r="K130" s="106"/>
      <c r="L130" s="34"/>
      <c r="M130" s="45"/>
      <c r="N130" s="34"/>
      <c r="O130" s="50"/>
    </row>
    <row r="131" ht="15.75" customHeight="1">
      <c r="A131" s="28"/>
      <c r="B131" s="28"/>
      <c r="C131" s="45"/>
      <c r="D131" s="50"/>
      <c r="E131" s="28"/>
      <c r="F131" s="28"/>
      <c r="G131" s="49"/>
      <c r="H131" s="49"/>
      <c r="I131" s="49"/>
      <c r="J131" s="49"/>
      <c r="K131" s="106"/>
      <c r="L131" s="34"/>
      <c r="M131" s="45"/>
      <c r="N131" s="34"/>
      <c r="O131" s="50"/>
    </row>
    <row r="132" ht="15.75" customHeight="1">
      <c r="A132" s="28"/>
      <c r="B132" s="28"/>
      <c r="C132" s="45"/>
      <c r="D132" s="50"/>
      <c r="E132" s="28"/>
      <c r="F132" s="28"/>
      <c r="G132" s="49"/>
      <c r="H132" s="49"/>
      <c r="I132" s="49"/>
      <c r="J132" s="49"/>
      <c r="K132" s="106"/>
      <c r="L132" s="34"/>
      <c r="M132" s="45"/>
      <c r="N132" s="34"/>
      <c r="O132" s="50"/>
    </row>
    <row r="133" ht="15.75" customHeight="1">
      <c r="A133" s="28"/>
      <c r="B133" s="28"/>
      <c r="C133" s="45"/>
      <c r="D133" s="50"/>
      <c r="E133" s="28"/>
      <c r="F133" s="28"/>
      <c r="G133" s="49"/>
      <c r="H133" s="49"/>
      <c r="I133" s="49"/>
      <c r="J133" s="49"/>
      <c r="K133" s="106"/>
      <c r="L133" s="34"/>
      <c r="M133" s="45"/>
      <c r="N133" s="34"/>
      <c r="O133" s="50"/>
    </row>
    <row r="134" ht="15.75" customHeight="1">
      <c r="A134" s="28"/>
      <c r="B134" s="28"/>
      <c r="C134" s="45"/>
      <c r="D134" s="50"/>
      <c r="E134" s="28"/>
      <c r="F134" s="28"/>
      <c r="G134" s="49"/>
      <c r="H134" s="49"/>
      <c r="I134" s="49"/>
      <c r="J134" s="49"/>
      <c r="K134" s="106"/>
      <c r="L134" s="34"/>
      <c r="M134" s="45"/>
      <c r="N134" s="34"/>
      <c r="O134" s="50"/>
    </row>
    <row r="135" ht="15.75" customHeight="1">
      <c r="A135" s="28"/>
      <c r="B135" s="28"/>
      <c r="C135" s="45"/>
      <c r="D135" s="50"/>
      <c r="E135" s="28"/>
      <c r="F135" s="28"/>
      <c r="G135" s="49"/>
      <c r="H135" s="49"/>
      <c r="I135" s="49"/>
      <c r="J135" s="49"/>
      <c r="K135" s="106"/>
      <c r="L135" s="34"/>
      <c r="M135" s="45"/>
      <c r="N135" s="34"/>
      <c r="O135" s="50"/>
    </row>
    <row r="136" ht="15.75" customHeight="1">
      <c r="A136" s="28"/>
      <c r="B136" s="28"/>
      <c r="C136" s="45"/>
      <c r="D136" s="50"/>
      <c r="E136" s="28"/>
      <c r="F136" s="28"/>
      <c r="G136" s="49"/>
      <c r="H136" s="49"/>
      <c r="I136" s="49"/>
      <c r="J136" s="49"/>
      <c r="K136" s="106"/>
      <c r="L136" s="34"/>
      <c r="M136" s="45"/>
      <c r="N136" s="34"/>
      <c r="O136" s="50"/>
    </row>
    <row r="137" ht="15.75" customHeight="1">
      <c r="A137" s="28"/>
      <c r="B137" s="28"/>
      <c r="C137" s="45"/>
      <c r="D137" s="50"/>
      <c r="E137" s="28"/>
      <c r="F137" s="28"/>
      <c r="G137" s="49"/>
      <c r="H137" s="49"/>
      <c r="I137" s="49"/>
      <c r="J137" s="49"/>
      <c r="K137" s="106"/>
      <c r="L137" s="34"/>
      <c r="M137" s="45"/>
      <c r="N137" s="34"/>
      <c r="O137" s="50"/>
    </row>
    <row r="138" ht="15.75" customHeight="1">
      <c r="A138" s="28"/>
      <c r="B138" s="28"/>
      <c r="C138" s="45"/>
      <c r="D138" s="50"/>
      <c r="E138" s="28"/>
      <c r="F138" s="28"/>
      <c r="G138" s="49"/>
      <c r="H138" s="49"/>
      <c r="I138" s="49"/>
      <c r="J138" s="49"/>
      <c r="K138" s="106"/>
      <c r="L138" s="34"/>
      <c r="M138" s="45"/>
      <c r="N138" s="34"/>
      <c r="O138" s="50"/>
    </row>
    <row r="139" ht="15.75" customHeight="1">
      <c r="A139" s="28"/>
      <c r="B139" s="28"/>
      <c r="C139" s="45"/>
      <c r="D139" s="50"/>
      <c r="E139" s="28"/>
      <c r="F139" s="28"/>
      <c r="G139" s="49"/>
      <c r="H139" s="49"/>
      <c r="I139" s="49"/>
      <c r="J139" s="49"/>
      <c r="K139" s="106"/>
      <c r="L139" s="34"/>
      <c r="M139" s="45"/>
      <c r="N139" s="34"/>
      <c r="O139" s="50"/>
    </row>
    <row r="140" ht="15.75" customHeight="1">
      <c r="A140" s="107" t="s">
        <v>137</v>
      </c>
      <c r="B140" s="108"/>
      <c r="C140" s="109"/>
      <c r="D140" s="110"/>
      <c r="E140" s="108"/>
      <c r="F140" s="108"/>
      <c r="G140" s="108"/>
      <c r="H140" s="108"/>
      <c r="I140" s="108"/>
      <c r="J140" s="108"/>
      <c r="K140" s="108"/>
      <c r="L140" s="113"/>
      <c r="M140" s="114">
        <f t="shared" ref="M140:N140" si="12">SUM(M141:M159)</f>
        <v>0</v>
      </c>
      <c r="N140" s="113">
        <f t="shared" si="12"/>
        <v>0</v>
      </c>
      <c r="O140" s="115">
        <f>AVERAGE(O141:O159)</f>
        <v>0</v>
      </c>
    </row>
    <row r="141" ht="15.75" customHeight="1">
      <c r="A141" s="28"/>
      <c r="B141" s="28"/>
      <c r="C141" s="45"/>
      <c r="D141" s="50"/>
      <c r="E141" s="28"/>
      <c r="F141" s="28"/>
      <c r="G141" s="49"/>
      <c r="H141" s="49"/>
      <c r="I141" s="49"/>
      <c r="J141" s="49"/>
      <c r="K141" s="106"/>
      <c r="L141" s="34"/>
      <c r="M141" s="45"/>
      <c r="N141" s="34"/>
      <c r="O141" s="50">
        <v>0.0</v>
      </c>
    </row>
    <row r="142" ht="15.75" customHeight="1">
      <c r="A142" s="28"/>
      <c r="B142" s="28"/>
      <c r="C142" s="45"/>
      <c r="D142" s="50"/>
      <c r="E142" s="28"/>
      <c r="F142" s="28"/>
      <c r="G142" s="49"/>
      <c r="H142" s="49"/>
      <c r="I142" s="49"/>
      <c r="J142" s="49"/>
      <c r="K142" s="106"/>
      <c r="L142" s="34"/>
      <c r="M142" s="45"/>
      <c r="N142" s="34"/>
      <c r="O142" s="50"/>
    </row>
    <row r="143" ht="15.75" customHeight="1">
      <c r="A143" s="28"/>
      <c r="B143" s="28"/>
      <c r="C143" s="45"/>
      <c r="D143" s="50"/>
      <c r="E143" s="28"/>
      <c r="F143" s="28"/>
      <c r="G143" s="49"/>
      <c r="H143" s="49"/>
      <c r="I143" s="49"/>
      <c r="J143" s="49"/>
      <c r="K143" s="106"/>
      <c r="L143" s="34"/>
      <c r="M143" s="45"/>
      <c r="N143" s="34"/>
      <c r="O143" s="50"/>
    </row>
    <row r="144" ht="15.75" customHeight="1">
      <c r="A144" s="28"/>
      <c r="B144" s="28"/>
      <c r="C144" s="45"/>
      <c r="D144" s="50"/>
      <c r="E144" s="28"/>
      <c r="F144" s="28"/>
      <c r="G144" s="49"/>
      <c r="H144" s="49"/>
      <c r="I144" s="49"/>
      <c r="J144" s="49"/>
      <c r="K144" s="106"/>
      <c r="L144" s="34"/>
      <c r="M144" s="45"/>
      <c r="N144" s="34"/>
      <c r="O144" s="50"/>
    </row>
    <row r="145" ht="15.75" customHeight="1">
      <c r="A145" s="28"/>
      <c r="B145" s="28"/>
      <c r="C145" s="45"/>
      <c r="D145" s="50"/>
      <c r="E145" s="28"/>
      <c r="F145" s="28"/>
      <c r="G145" s="49"/>
      <c r="H145" s="49"/>
      <c r="I145" s="49"/>
      <c r="J145" s="49"/>
      <c r="K145" s="106"/>
      <c r="L145" s="34"/>
      <c r="M145" s="45"/>
      <c r="N145" s="34"/>
      <c r="O145" s="50"/>
    </row>
    <row r="146" ht="15.75" customHeight="1">
      <c r="A146" s="28"/>
      <c r="B146" s="28"/>
      <c r="C146" s="45"/>
      <c r="D146" s="50"/>
      <c r="E146" s="28"/>
      <c r="F146" s="28"/>
      <c r="G146" s="49"/>
      <c r="H146" s="49"/>
      <c r="I146" s="49"/>
      <c r="J146" s="49"/>
      <c r="K146" s="106"/>
      <c r="L146" s="34"/>
      <c r="M146" s="45"/>
      <c r="N146" s="34"/>
      <c r="O146" s="50"/>
    </row>
    <row r="147" ht="15.75" customHeight="1">
      <c r="A147" s="28"/>
      <c r="B147" s="28"/>
      <c r="C147" s="45"/>
      <c r="D147" s="50"/>
      <c r="E147" s="28"/>
      <c r="F147" s="28"/>
      <c r="G147" s="49"/>
      <c r="H147" s="49"/>
      <c r="I147" s="49"/>
      <c r="J147" s="49"/>
      <c r="K147" s="106"/>
      <c r="L147" s="34"/>
      <c r="M147" s="45"/>
      <c r="N147" s="34"/>
      <c r="O147" s="50"/>
    </row>
    <row r="148" ht="15.75" customHeight="1">
      <c r="A148" s="28"/>
      <c r="B148" s="28"/>
      <c r="C148" s="45"/>
      <c r="D148" s="50"/>
      <c r="E148" s="28"/>
      <c r="F148" s="28"/>
      <c r="G148" s="49"/>
      <c r="H148" s="49"/>
      <c r="I148" s="49"/>
      <c r="J148" s="49"/>
      <c r="K148" s="106"/>
      <c r="L148" s="34"/>
      <c r="M148" s="45"/>
      <c r="N148" s="34"/>
      <c r="O148" s="50"/>
    </row>
    <row r="149" ht="15.75" customHeight="1">
      <c r="A149" s="28"/>
      <c r="B149" s="28"/>
      <c r="C149" s="45"/>
      <c r="D149" s="50"/>
      <c r="E149" s="28"/>
      <c r="F149" s="28"/>
      <c r="G149" s="49"/>
      <c r="H149" s="49"/>
      <c r="I149" s="49"/>
      <c r="J149" s="49"/>
      <c r="K149" s="106"/>
      <c r="L149" s="34"/>
      <c r="M149" s="45"/>
      <c r="N149" s="34"/>
      <c r="O149" s="50"/>
    </row>
    <row r="150" ht="15.75" customHeight="1">
      <c r="A150" s="28"/>
      <c r="B150" s="28"/>
      <c r="C150" s="45"/>
      <c r="D150" s="50"/>
      <c r="E150" s="28"/>
      <c r="F150" s="28"/>
      <c r="G150" s="49"/>
      <c r="H150" s="49"/>
      <c r="I150" s="49"/>
      <c r="J150" s="49"/>
      <c r="K150" s="106"/>
      <c r="L150" s="34"/>
      <c r="M150" s="45"/>
      <c r="N150" s="34"/>
      <c r="O150" s="50"/>
    </row>
    <row r="151" ht="15.75" customHeight="1">
      <c r="A151" s="28"/>
      <c r="B151" s="28"/>
      <c r="C151" s="45"/>
      <c r="D151" s="50"/>
      <c r="E151" s="28"/>
      <c r="F151" s="28"/>
      <c r="G151" s="49"/>
      <c r="H151" s="49"/>
      <c r="I151" s="49"/>
      <c r="J151" s="49"/>
      <c r="K151" s="106"/>
      <c r="L151" s="34"/>
      <c r="M151" s="45"/>
      <c r="N151" s="34"/>
      <c r="O151" s="50"/>
    </row>
    <row r="152" ht="15.75" customHeight="1">
      <c r="A152" s="28"/>
      <c r="B152" s="28"/>
      <c r="C152" s="45"/>
      <c r="D152" s="50"/>
      <c r="E152" s="28"/>
      <c r="F152" s="28"/>
      <c r="G152" s="49"/>
      <c r="H152" s="49"/>
      <c r="I152" s="49"/>
      <c r="J152" s="49"/>
      <c r="K152" s="106"/>
      <c r="L152" s="34"/>
      <c r="M152" s="45"/>
      <c r="N152" s="34"/>
      <c r="O152" s="50"/>
    </row>
    <row r="153" ht="15.75" customHeight="1">
      <c r="A153" s="28"/>
      <c r="B153" s="28"/>
      <c r="C153" s="45"/>
      <c r="D153" s="50"/>
      <c r="E153" s="28"/>
      <c r="F153" s="28"/>
      <c r="G153" s="49"/>
      <c r="H153" s="49"/>
      <c r="I153" s="49"/>
      <c r="J153" s="49"/>
      <c r="K153" s="106"/>
      <c r="L153" s="34"/>
      <c r="M153" s="45"/>
      <c r="N153" s="34"/>
      <c r="O153" s="50"/>
    </row>
    <row r="154" ht="15.75" customHeight="1">
      <c r="A154" s="28"/>
      <c r="B154" s="28"/>
      <c r="C154" s="45"/>
      <c r="D154" s="50"/>
      <c r="E154" s="28"/>
      <c r="F154" s="28"/>
      <c r="G154" s="49"/>
      <c r="H154" s="49"/>
      <c r="I154" s="49"/>
      <c r="J154" s="49"/>
      <c r="K154" s="106"/>
      <c r="L154" s="34"/>
      <c r="M154" s="45"/>
      <c r="N154" s="34"/>
      <c r="O154" s="50"/>
    </row>
    <row r="155" ht="15.75" customHeight="1">
      <c r="A155" s="28"/>
      <c r="B155" s="28"/>
      <c r="C155" s="45"/>
      <c r="D155" s="50"/>
      <c r="E155" s="28"/>
      <c r="F155" s="28"/>
      <c r="G155" s="49"/>
      <c r="H155" s="49"/>
      <c r="I155" s="49"/>
      <c r="J155" s="49"/>
      <c r="K155" s="106"/>
      <c r="L155" s="34"/>
      <c r="M155" s="45"/>
      <c r="N155" s="34"/>
      <c r="O155" s="50"/>
    </row>
    <row r="156" ht="15.75" customHeight="1">
      <c r="A156" s="28"/>
      <c r="B156" s="28"/>
      <c r="C156" s="45"/>
      <c r="D156" s="50"/>
      <c r="E156" s="28"/>
      <c r="F156" s="28"/>
      <c r="G156" s="49"/>
      <c r="H156" s="49"/>
      <c r="I156" s="49"/>
      <c r="J156" s="49"/>
      <c r="K156" s="106"/>
      <c r="L156" s="34"/>
      <c r="M156" s="45"/>
      <c r="N156" s="34"/>
      <c r="O156" s="50"/>
    </row>
    <row r="157" ht="15.75" customHeight="1">
      <c r="A157" s="28"/>
      <c r="B157" s="28"/>
      <c r="C157" s="45"/>
      <c r="D157" s="50"/>
      <c r="E157" s="28"/>
      <c r="F157" s="28"/>
      <c r="G157" s="49"/>
      <c r="H157" s="49"/>
      <c r="I157" s="49"/>
      <c r="J157" s="49"/>
      <c r="K157" s="106"/>
      <c r="L157" s="34"/>
      <c r="M157" s="45"/>
      <c r="N157" s="34"/>
      <c r="O157" s="50"/>
    </row>
    <row r="158" ht="15.75" customHeight="1">
      <c r="A158" s="28"/>
      <c r="B158" s="28"/>
      <c r="C158" s="45"/>
      <c r="D158" s="50"/>
      <c r="E158" s="28"/>
      <c r="F158" s="28"/>
      <c r="G158" s="49"/>
      <c r="H158" s="49"/>
      <c r="I158" s="49"/>
      <c r="J158" s="49"/>
      <c r="K158" s="106"/>
      <c r="L158" s="34"/>
      <c r="M158" s="45"/>
      <c r="N158" s="34"/>
      <c r="O158" s="50"/>
    </row>
    <row r="159" ht="15.75" customHeight="1">
      <c r="A159" s="28"/>
      <c r="B159" s="28"/>
      <c r="C159" s="45"/>
      <c r="D159" s="50"/>
      <c r="E159" s="28"/>
      <c r="F159" s="28"/>
      <c r="G159" s="49"/>
      <c r="H159" s="49"/>
      <c r="I159" s="49"/>
      <c r="J159" s="49"/>
      <c r="K159" s="106"/>
      <c r="L159" s="34"/>
      <c r="M159" s="45"/>
      <c r="N159" s="34"/>
      <c r="O159" s="50"/>
    </row>
    <row r="160" ht="15.75" customHeight="1">
      <c r="A160" s="107" t="s">
        <v>71</v>
      </c>
      <c r="B160" s="108"/>
      <c r="C160" s="109"/>
      <c r="D160" s="110"/>
      <c r="E160" s="108"/>
      <c r="F160" s="108"/>
      <c r="G160" s="108"/>
      <c r="H160" s="108"/>
      <c r="I160" s="108"/>
      <c r="J160" s="108"/>
      <c r="K160" s="108"/>
      <c r="L160" s="113"/>
      <c r="M160" s="114">
        <f t="shared" ref="M160:N160" si="13">SUM(M161:M179)</f>
        <v>0</v>
      </c>
      <c r="N160" s="113">
        <f t="shared" si="13"/>
        <v>0</v>
      </c>
      <c r="O160" s="115">
        <f>AVERAGE(O161:O179)</f>
        <v>0</v>
      </c>
    </row>
    <row r="161" ht="15.75" customHeight="1">
      <c r="A161" s="28"/>
      <c r="B161" s="28"/>
      <c r="C161" s="45"/>
      <c r="D161" s="50"/>
      <c r="E161" s="28"/>
      <c r="F161" s="28"/>
      <c r="G161" s="49"/>
      <c r="H161" s="49"/>
      <c r="I161" s="49"/>
      <c r="J161" s="49"/>
      <c r="K161" s="106"/>
      <c r="L161" s="34"/>
      <c r="M161" s="45"/>
      <c r="N161" s="34"/>
      <c r="O161" s="50">
        <v>0.0</v>
      </c>
    </row>
    <row r="162" ht="15.75" customHeight="1">
      <c r="A162" s="28"/>
      <c r="B162" s="28"/>
      <c r="C162" s="45"/>
      <c r="D162" s="50"/>
      <c r="E162" s="28"/>
      <c r="F162" s="28"/>
      <c r="G162" s="49"/>
      <c r="H162" s="49"/>
      <c r="I162" s="49"/>
      <c r="J162" s="49"/>
      <c r="K162" s="106"/>
      <c r="L162" s="34"/>
      <c r="M162" s="45"/>
      <c r="N162" s="34"/>
      <c r="O162" s="50"/>
    </row>
    <row r="163" ht="15.75" customHeight="1">
      <c r="A163" s="28"/>
      <c r="B163" s="28"/>
      <c r="C163" s="45"/>
      <c r="D163" s="50"/>
      <c r="E163" s="28"/>
      <c r="F163" s="28"/>
      <c r="G163" s="49"/>
      <c r="H163" s="49"/>
      <c r="I163" s="49"/>
      <c r="J163" s="49"/>
      <c r="K163" s="106"/>
      <c r="L163" s="34"/>
      <c r="M163" s="45"/>
      <c r="N163" s="34"/>
      <c r="O163" s="50"/>
    </row>
    <row r="164" ht="15.75" customHeight="1">
      <c r="A164" s="28"/>
      <c r="B164" s="28"/>
      <c r="C164" s="45"/>
      <c r="D164" s="50"/>
      <c r="E164" s="28"/>
      <c r="F164" s="28"/>
      <c r="G164" s="49"/>
      <c r="H164" s="49"/>
      <c r="I164" s="49"/>
      <c r="J164" s="49"/>
      <c r="K164" s="106"/>
      <c r="L164" s="34"/>
      <c r="M164" s="45"/>
      <c r="N164" s="34"/>
      <c r="O164" s="50"/>
    </row>
    <row r="165" ht="15.75" customHeight="1">
      <c r="A165" s="28"/>
      <c r="B165" s="28"/>
      <c r="C165" s="45"/>
      <c r="D165" s="50"/>
      <c r="E165" s="28"/>
      <c r="F165" s="28"/>
      <c r="G165" s="49"/>
      <c r="H165" s="49"/>
      <c r="I165" s="49"/>
      <c r="J165" s="49"/>
      <c r="K165" s="106"/>
      <c r="L165" s="34"/>
      <c r="M165" s="45"/>
      <c r="N165" s="34"/>
      <c r="O165" s="50"/>
    </row>
    <row r="166" ht="15.75" customHeight="1">
      <c r="A166" s="28"/>
      <c r="B166" s="28"/>
      <c r="C166" s="45"/>
      <c r="D166" s="50"/>
      <c r="E166" s="28"/>
      <c r="F166" s="28"/>
      <c r="G166" s="49"/>
      <c r="H166" s="49"/>
      <c r="I166" s="49"/>
      <c r="J166" s="49"/>
      <c r="K166" s="106"/>
      <c r="L166" s="34"/>
      <c r="M166" s="45"/>
      <c r="N166" s="34"/>
      <c r="O166" s="50"/>
    </row>
    <row r="167" ht="15.75" customHeight="1">
      <c r="A167" s="28"/>
      <c r="B167" s="28"/>
      <c r="C167" s="45"/>
      <c r="D167" s="50"/>
      <c r="E167" s="28"/>
      <c r="F167" s="28"/>
      <c r="G167" s="49"/>
      <c r="H167" s="49"/>
      <c r="I167" s="49"/>
      <c r="J167" s="49"/>
      <c r="K167" s="106"/>
      <c r="L167" s="34"/>
      <c r="M167" s="45"/>
      <c r="N167" s="34"/>
      <c r="O167" s="50"/>
    </row>
    <row r="168" ht="15.75" customHeight="1">
      <c r="A168" s="28"/>
      <c r="B168" s="28"/>
      <c r="C168" s="45"/>
      <c r="D168" s="50"/>
      <c r="E168" s="28"/>
      <c r="F168" s="28"/>
      <c r="G168" s="49"/>
      <c r="H168" s="49"/>
      <c r="I168" s="49"/>
      <c r="J168" s="49"/>
      <c r="K168" s="106"/>
      <c r="L168" s="34"/>
      <c r="M168" s="45"/>
      <c r="N168" s="34"/>
      <c r="O168" s="50"/>
    </row>
    <row r="169" ht="15.75" customHeight="1">
      <c r="A169" s="28"/>
      <c r="B169" s="28"/>
      <c r="C169" s="45"/>
      <c r="D169" s="50"/>
      <c r="E169" s="28"/>
      <c r="F169" s="28"/>
      <c r="G169" s="49"/>
      <c r="H169" s="49"/>
      <c r="I169" s="49"/>
      <c r="J169" s="49"/>
      <c r="K169" s="106"/>
      <c r="L169" s="34"/>
      <c r="M169" s="45"/>
      <c r="N169" s="34"/>
      <c r="O169" s="50"/>
    </row>
    <row r="170" ht="15.75" customHeight="1">
      <c r="A170" s="28"/>
      <c r="B170" s="28"/>
      <c r="C170" s="45"/>
      <c r="D170" s="50"/>
      <c r="E170" s="28"/>
      <c r="F170" s="28"/>
      <c r="G170" s="49"/>
      <c r="H170" s="49"/>
      <c r="I170" s="49"/>
      <c r="J170" s="49"/>
      <c r="K170" s="106"/>
      <c r="L170" s="34"/>
      <c r="M170" s="45"/>
      <c r="N170" s="34"/>
      <c r="O170" s="50"/>
    </row>
    <row r="171" ht="15.75" customHeight="1">
      <c r="A171" s="28"/>
      <c r="B171" s="28"/>
      <c r="C171" s="45"/>
      <c r="D171" s="50"/>
      <c r="E171" s="28"/>
      <c r="F171" s="28"/>
      <c r="G171" s="49"/>
      <c r="H171" s="49"/>
      <c r="I171" s="49"/>
      <c r="J171" s="49"/>
      <c r="K171" s="106"/>
      <c r="L171" s="34"/>
      <c r="M171" s="45"/>
      <c r="N171" s="34"/>
      <c r="O171" s="50"/>
    </row>
    <row r="172" ht="15.75" customHeight="1">
      <c r="A172" s="28"/>
      <c r="B172" s="28"/>
      <c r="C172" s="45"/>
      <c r="D172" s="50"/>
      <c r="E172" s="28"/>
      <c r="F172" s="28"/>
      <c r="G172" s="49"/>
      <c r="H172" s="49"/>
      <c r="I172" s="49"/>
      <c r="J172" s="49"/>
      <c r="K172" s="106"/>
      <c r="L172" s="34"/>
      <c r="M172" s="45"/>
      <c r="N172" s="34"/>
      <c r="O172" s="50"/>
    </row>
    <row r="173" ht="15.75" customHeight="1">
      <c r="A173" s="28"/>
      <c r="B173" s="28"/>
      <c r="C173" s="45"/>
      <c r="D173" s="50"/>
      <c r="E173" s="28"/>
      <c r="F173" s="28"/>
      <c r="G173" s="49"/>
      <c r="H173" s="49"/>
      <c r="I173" s="49"/>
      <c r="J173" s="49"/>
      <c r="K173" s="106"/>
      <c r="L173" s="34"/>
      <c r="M173" s="45"/>
      <c r="N173" s="34"/>
      <c r="O173" s="50"/>
    </row>
    <row r="174" ht="15.75" customHeight="1">
      <c r="A174" s="28"/>
      <c r="B174" s="28"/>
      <c r="C174" s="45"/>
      <c r="D174" s="50"/>
      <c r="E174" s="28"/>
      <c r="F174" s="28"/>
      <c r="G174" s="49"/>
      <c r="H174" s="49"/>
      <c r="I174" s="49"/>
      <c r="J174" s="49"/>
      <c r="K174" s="106"/>
      <c r="L174" s="34"/>
      <c r="M174" s="45"/>
      <c r="N174" s="34"/>
      <c r="O174" s="50"/>
    </row>
    <row r="175" ht="15.75" customHeight="1">
      <c r="A175" s="28"/>
      <c r="B175" s="28"/>
      <c r="C175" s="45"/>
      <c r="D175" s="50"/>
      <c r="E175" s="28"/>
      <c r="F175" s="28"/>
      <c r="G175" s="49"/>
      <c r="H175" s="49"/>
      <c r="I175" s="49"/>
      <c r="J175" s="49"/>
      <c r="K175" s="106"/>
      <c r="L175" s="34"/>
      <c r="M175" s="45"/>
      <c r="N175" s="34"/>
      <c r="O175" s="50"/>
    </row>
    <row r="176" ht="15.75" customHeight="1">
      <c r="A176" s="28"/>
      <c r="B176" s="28"/>
      <c r="C176" s="45"/>
      <c r="D176" s="50"/>
      <c r="E176" s="28"/>
      <c r="F176" s="28"/>
      <c r="G176" s="49"/>
      <c r="H176" s="49"/>
      <c r="I176" s="49"/>
      <c r="J176" s="49"/>
      <c r="K176" s="106"/>
      <c r="L176" s="34"/>
      <c r="M176" s="45"/>
      <c r="N176" s="34"/>
      <c r="O176" s="50"/>
    </row>
    <row r="177" ht="15.75" customHeight="1">
      <c r="A177" s="28"/>
      <c r="B177" s="28"/>
      <c r="C177" s="45"/>
      <c r="D177" s="50"/>
      <c r="E177" s="28"/>
      <c r="F177" s="28"/>
      <c r="G177" s="49"/>
      <c r="H177" s="49"/>
      <c r="I177" s="49"/>
      <c r="J177" s="49"/>
      <c r="K177" s="106"/>
      <c r="L177" s="34"/>
      <c r="M177" s="45"/>
      <c r="N177" s="34"/>
      <c r="O177" s="50"/>
    </row>
    <row r="178" ht="15.75" customHeight="1">
      <c r="A178" s="28"/>
      <c r="B178" s="28"/>
      <c r="C178" s="45"/>
      <c r="D178" s="50"/>
      <c r="E178" s="28"/>
      <c r="F178" s="28"/>
      <c r="G178" s="49"/>
      <c r="H178" s="49"/>
      <c r="I178" s="49"/>
      <c r="J178" s="49"/>
      <c r="K178" s="106"/>
      <c r="L178" s="34"/>
      <c r="M178" s="45"/>
      <c r="N178" s="34"/>
      <c r="O178" s="50"/>
    </row>
    <row r="179" ht="15.75" customHeight="1">
      <c r="A179" s="28"/>
      <c r="B179" s="28"/>
      <c r="C179" s="45"/>
      <c r="D179" s="50"/>
      <c r="E179" s="28"/>
      <c r="F179" s="28"/>
      <c r="G179" s="49"/>
      <c r="H179" s="49"/>
      <c r="I179" s="49"/>
      <c r="J179" s="49"/>
      <c r="K179" s="106"/>
      <c r="L179" s="34"/>
      <c r="M179" s="45"/>
      <c r="N179" s="34"/>
      <c r="O179" s="50"/>
    </row>
    <row r="180" ht="15.75" customHeight="1">
      <c r="A180" s="107" t="s">
        <v>72</v>
      </c>
      <c r="B180" s="108"/>
      <c r="C180" s="109"/>
      <c r="D180" s="110"/>
      <c r="E180" s="108"/>
      <c r="F180" s="108"/>
      <c r="G180" s="108"/>
      <c r="H180" s="108"/>
      <c r="I180" s="108"/>
      <c r="J180" s="108"/>
      <c r="K180" s="108"/>
      <c r="L180" s="113"/>
      <c r="M180" s="114">
        <f t="shared" ref="M180:N180" si="14">SUM(M181:M199)</f>
        <v>0</v>
      </c>
      <c r="N180" s="113">
        <f t="shared" si="14"/>
        <v>0</v>
      </c>
      <c r="O180" s="115">
        <f>AVERAGE(O181:O199)</f>
        <v>0</v>
      </c>
    </row>
    <row r="181" ht="15.75" customHeight="1">
      <c r="A181" s="28"/>
      <c r="B181" s="28"/>
      <c r="C181" s="45"/>
      <c r="D181" s="50"/>
      <c r="E181" s="28"/>
      <c r="F181" s="28"/>
      <c r="G181" s="49"/>
      <c r="H181" s="49"/>
      <c r="I181" s="49"/>
      <c r="J181" s="49"/>
      <c r="K181" s="106"/>
      <c r="L181" s="34"/>
      <c r="M181" s="45"/>
      <c r="N181" s="34"/>
      <c r="O181" s="50">
        <v>0.0</v>
      </c>
    </row>
    <row r="182" ht="15.75" customHeight="1">
      <c r="A182" s="28"/>
      <c r="B182" s="28"/>
      <c r="C182" s="45"/>
      <c r="D182" s="50"/>
      <c r="E182" s="28"/>
      <c r="F182" s="28"/>
      <c r="G182" s="49"/>
      <c r="H182" s="49"/>
      <c r="I182" s="49"/>
      <c r="J182" s="49"/>
      <c r="K182" s="106"/>
      <c r="L182" s="34"/>
      <c r="M182" s="45"/>
      <c r="N182" s="34"/>
      <c r="O182" s="50"/>
    </row>
    <row r="183" ht="15.75" customHeight="1">
      <c r="A183" s="28"/>
      <c r="B183" s="28"/>
      <c r="C183" s="45"/>
      <c r="D183" s="50"/>
      <c r="E183" s="28"/>
      <c r="F183" s="28"/>
      <c r="G183" s="49"/>
      <c r="H183" s="49"/>
      <c r="I183" s="49"/>
      <c r="J183" s="49"/>
      <c r="K183" s="106"/>
      <c r="L183" s="34"/>
      <c r="M183" s="45"/>
      <c r="N183" s="34"/>
      <c r="O183" s="50"/>
    </row>
    <row r="184" ht="15.75" customHeight="1">
      <c r="A184" s="28"/>
      <c r="B184" s="28"/>
      <c r="C184" s="45"/>
      <c r="D184" s="50"/>
      <c r="E184" s="28"/>
      <c r="F184" s="28"/>
      <c r="G184" s="49"/>
      <c r="H184" s="49"/>
      <c r="I184" s="49"/>
      <c r="J184" s="49"/>
      <c r="K184" s="106"/>
      <c r="L184" s="34"/>
      <c r="M184" s="45"/>
      <c r="N184" s="34"/>
      <c r="O184" s="50"/>
    </row>
    <row r="185" ht="15.75" customHeight="1">
      <c r="A185" s="28"/>
      <c r="B185" s="28"/>
      <c r="C185" s="45"/>
      <c r="D185" s="50"/>
      <c r="E185" s="28"/>
      <c r="F185" s="28"/>
      <c r="G185" s="49"/>
      <c r="H185" s="49"/>
      <c r="I185" s="49"/>
      <c r="J185" s="49"/>
      <c r="K185" s="106"/>
      <c r="L185" s="34"/>
      <c r="M185" s="45"/>
      <c r="N185" s="34"/>
      <c r="O185" s="50"/>
    </row>
    <row r="186" ht="15.75" customHeight="1">
      <c r="A186" s="28"/>
      <c r="B186" s="28"/>
      <c r="C186" s="45"/>
      <c r="D186" s="50"/>
      <c r="E186" s="28"/>
      <c r="F186" s="28"/>
      <c r="G186" s="49"/>
      <c r="H186" s="49"/>
      <c r="I186" s="49"/>
      <c r="J186" s="49"/>
      <c r="K186" s="106"/>
      <c r="L186" s="34"/>
      <c r="M186" s="45"/>
      <c r="N186" s="34"/>
      <c r="O186" s="50"/>
    </row>
    <row r="187" ht="15.75" customHeight="1">
      <c r="A187" s="28"/>
      <c r="B187" s="28"/>
      <c r="C187" s="45"/>
      <c r="D187" s="50"/>
      <c r="E187" s="28"/>
      <c r="F187" s="28"/>
      <c r="G187" s="49"/>
      <c r="H187" s="49"/>
      <c r="I187" s="49"/>
      <c r="J187" s="49"/>
      <c r="K187" s="106"/>
      <c r="L187" s="34"/>
      <c r="M187" s="45"/>
      <c r="N187" s="34"/>
      <c r="O187" s="50"/>
    </row>
    <row r="188" ht="15.75" customHeight="1">
      <c r="A188" s="28"/>
      <c r="B188" s="28"/>
      <c r="C188" s="45"/>
      <c r="D188" s="50"/>
      <c r="E188" s="28"/>
      <c r="F188" s="28"/>
      <c r="G188" s="49"/>
      <c r="H188" s="49"/>
      <c r="I188" s="49"/>
      <c r="J188" s="49"/>
      <c r="K188" s="106"/>
      <c r="L188" s="34"/>
      <c r="M188" s="45"/>
      <c r="N188" s="34"/>
      <c r="O188" s="50"/>
    </row>
    <row r="189" ht="15.75" customHeight="1">
      <c r="A189" s="28"/>
      <c r="B189" s="28"/>
      <c r="C189" s="45"/>
      <c r="D189" s="50"/>
      <c r="E189" s="28"/>
      <c r="F189" s="28"/>
      <c r="G189" s="49"/>
      <c r="H189" s="49"/>
      <c r="I189" s="49"/>
      <c r="J189" s="49"/>
      <c r="K189" s="106"/>
      <c r="L189" s="34"/>
      <c r="M189" s="45"/>
      <c r="N189" s="34"/>
      <c r="O189" s="50"/>
    </row>
    <row r="190" ht="15.75" customHeight="1">
      <c r="A190" s="28"/>
      <c r="B190" s="28"/>
      <c r="C190" s="45"/>
      <c r="D190" s="50"/>
      <c r="E190" s="28"/>
      <c r="F190" s="28"/>
      <c r="G190" s="49"/>
      <c r="H190" s="49"/>
      <c r="I190" s="49"/>
      <c r="J190" s="49"/>
      <c r="K190" s="106"/>
      <c r="L190" s="34"/>
      <c r="M190" s="45"/>
      <c r="N190" s="34"/>
      <c r="O190" s="50"/>
    </row>
    <row r="191" ht="15.75" customHeight="1">
      <c r="A191" s="28"/>
      <c r="B191" s="28"/>
      <c r="C191" s="45"/>
      <c r="D191" s="50"/>
      <c r="E191" s="28"/>
      <c r="F191" s="28"/>
      <c r="G191" s="49"/>
      <c r="H191" s="49"/>
      <c r="I191" s="49"/>
      <c r="J191" s="49"/>
      <c r="K191" s="106"/>
      <c r="L191" s="34"/>
      <c r="M191" s="45"/>
      <c r="N191" s="34"/>
      <c r="O191" s="50"/>
    </row>
    <row r="192" ht="15.75" customHeight="1">
      <c r="A192" s="28"/>
      <c r="B192" s="28"/>
      <c r="C192" s="45"/>
      <c r="D192" s="50"/>
      <c r="E192" s="28"/>
      <c r="F192" s="28"/>
      <c r="G192" s="49"/>
      <c r="H192" s="49"/>
      <c r="I192" s="49"/>
      <c r="J192" s="49"/>
      <c r="K192" s="106"/>
      <c r="L192" s="34"/>
      <c r="M192" s="45"/>
      <c r="N192" s="34"/>
      <c r="O192" s="50"/>
    </row>
    <row r="193" ht="15.75" customHeight="1">
      <c r="A193" s="28"/>
      <c r="B193" s="28"/>
      <c r="C193" s="45"/>
      <c r="D193" s="50"/>
      <c r="E193" s="28"/>
      <c r="F193" s="28"/>
      <c r="G193" s="49"/>
      <c r="H193" s="49"/>
      <c r="I193" s="49"/>
      <c r="J193" s="49"/>
      <c r="K193" s="106"/>
      <c r="L193" s="34"/>
      <c r="M193" s="45"/>
      <c r="N193" s="34"/>
      <c r="O193" s="50"/>
    </row>
    <row r="194" ht="15.75" customHeight="1">
      <c r="A194" s="28"/>
      <c r="B194" s="28"/>
      <c r="C194" s="45"/>
      <c r="D194" s="50"/>
      <c r="E194" s="28"/>
      <c r="F194" s="28"/>
      <c r="G194" s="49"/>
      <c r="H194" s="49"/>
      <c r="I194" s="49"/>
      <c r="J194" s="49"/>
      <c r="K194" s="106"/>
      <c r="L194" s="34"/>
      <c r="M194" s="45"/>
      <c r="N194" s="34"/>
      <c r="O194" s="50"/>
    </row>
    <row r="195" ht="15.75" customHeight="1">
      <c r="A195" s="28"/>
      <c r="B195" s="28"/>
      <c r="C195" s="45"/>
      <c r="D195" s="50"/>
      <c r="E195" s="28"/>
      <c r="F195" s="28"/>
      <c r="G195" s="49"/>
      <c r="H195" s="49"/>
      <c r="I195" s="49"/>
      <c r="J195" s="49"/>
      <c r="K195" s="106"/>
      <c r="L195" s="34"/>
      <c r="M195" s="45"/>
      <c r="N195" s="34"/>
      <c r="O195" s="50"/>
    </row>
    <row r="196" ht="15.75" customHeight="1">
      <c r="A196" s="28"/>
      <c r="B196" s="28"/>
      <c r="C196" s="45"/>
      <c r="D196" s="50"/>
      <c r="E196" s="28"/>
      <c r="F196" s="28"/>
      <c r="G196" s="49"/>
      <c r="H196" s="49"/>
      <c r="I196" s="49"/>
      <c r="J196" s="49"/>
      <c r="K196" s="106"/>
      <c r="L196" s="34"/>
      <c r="M196" s="45"/>
      <c r="N196" s="34"/>
      <c r="O196" s="50"/>
    </row>
    <row r="197" ht="15.75" customHeight="1">
      <c r="A197" s="28"/>
      <c r="B197" s="28"/>
      <c r="C197" s="45"/>
      <c r="D197" s="50"/>
      <c r="E197" s="28"/>
      <c r="F197" s="28"/>
      <c r="G197" s="49"/>
      <c r="H197" s="49"/>
      <c r="I197" s="49"/>
      <c r="J197" s="49"/>
      <c r="K197" s="106"/>
      <c r="L197" s="34"/>
      <c r="M197" s="45"/>
      <c r="N197" s="34"/>
      <c r="O197" s="50"/>
    </row>
    <row r="198" ht="15.75" customHeight="1">
      <c r="A198" s="28"/>
      <c r="B198" s="28"/>
      <c r="C198" s="45"/>
      <c r="D198" s="50"/>
      <c r="E198" s="28"/>
      <c r="F198" s="28"/>
      <c r="G198" s="49"/>
      <c r="H198" s="49"/>
      <c r="I198" s="49"/>
      <c r="J198" s="49"/>
      <c r="K198" s="106"/>
      <c r="L198" s="34"/>
      <c r="M198" s="45"/>
      <c r="N198" s="34"/>
      <c r="O198" s="50"/>
    </row>
    <row r="199" ht="15.75" customHeight="1">
      <c r="A199" s="28"/>
      <c r="B199" s="28"/>
      <c r="C199" s="45"/>
      <c r="D199" s="50"/>
      <c r="E199" s="28"/>
      <c r="F199" s="28"/>
      <c r="G199" s="49"/>
      <c r="H199" s="49"/>
      <c r="I199" s="49"/>
      <c r="J199" s="49"/>
      <c r="K199" s="106"/>
      <c r="L199" s="34"/>
      <c r="M199" s="45"/>
      <c r="N199" s="34"/>
      <c r="O199" s="50"/>
    </row>
    <row r="200" ht="15.75" customHeight="1">
      <c r="A200" s="107" t="s">
        <v>74</v>
      </c>
      <c r="B200" s="108"/>
      <c r="C200" s="109"/>
      <c r="D200" s="110"/>
      <c r="E200" s="108"/>
      <c r="F200" s="108"/>
      <c r="G200" s="108"/>
      <c r="H200" s="108"/>
      <c r="I200" s="108"/>
      <c r="J200" s="108"/>
      <c r="K200" s="108"/>
      <c r="L200" s="113"/>
      <c r="M200" s="114">
        <f t="shared" ref="M200:N200" si="15">SUM(M201:M219)</f>
        <v>0</v>
      </c>
      <c r="N200" s="113">
        <f t="shared" si="15"/>
        <v>0</v>
      </c>
      <c r="O200" s="115">
        <f>AVERAGE(O201:O219)</f>
        <v>0</v>
      </c>
    </row>
    <row r="201" ht="15.75" customHeight="1">
      <c r="A201" s="28"/>
      <c r="B201" s="28"/>
      <c r="C201" s="45"/>
      <c r="D201" s="50"/>
      <c r="E201" s="28"/>
      <c r="F201" s="28"/>
      <c r="G201" s="49"/>
      <c r="H201" s="49"/>
      <c r="I201" s="49"/>
      <c r="J201" s="49"/>
      <c r="K201" s="106"/>
      <c r="L201" s="34"/>
      <c r="M201" s="45"/>
      <c r="N201" s="34"/>
      <c r="O201" s="50">
        <v>0.0</v>
      </c>
    </row>
    <row r="202" ht="15.75" customHeight="1">
      <c r="A202" s="28"/>
      <c r="B202" s="28"/>
      <c r="C202" s="45"/>
      <c r="D202" s="50"/>
      <c r="E202" s="28"/>
      <c r="F202" s="28"/>
      <c r="G202" s="49"/>
      <c r="H202" s="49"/>
      <c r="I202" s="49"/>
      <c r="J202" s="49"/>
      <c r="K202" s="106"/>
      <c r="L202" s="34"/>
      <c r="M202" s="45"/>
      <c r="N202" s="34"/>
      <c r="O202" s="50"/>
    </row>
    <row r="203" ht="15.75" customHeight="1">
      <c r="A203" s="28"/>
      <c r="B203" s="28"/>
      <c r="C203" s="45"/>
      <c r="D203" s="50"/>
      <c r="E203" s="28"/>
      <c r="F203" s="28"/>
      <c r="G203" s="49"/>
      <c r="H203" s="49"/>
      <c r="I203" s="49"/>
      <c r="J203" s="49"/>
      <c r="K203" s="106"/>
      <c r="L203" s="34"/>
      <c r="M203" s="45"/>
      <c r="N203" s="34"/>
      <c r="O203" s="50"/>
    </row>
    <row r="204" ht="15.75" customHeight="1">
      <c r="A204" s="28"/>
      <c r="B204" s="28"/>
      <c r="C204" s="45"/>
      <c r="D204" s="50"/>
      <c r="E204" s="28"/>
      <c r="F204" s="28"/>
      <c r="G204" s="49"/>
      <c r="H204" s="49"/>
      <c r="I204" s="49"/>
      <c r="J204" s="49"/>
      <c r="K204" s="106"/>
      <c r="L204" s="34"/>
      <c r="M204" s="45"/>
      <c r="N204" s="34"/>
      <c r="O204" s="50"/>
    </row>
    <row r="205" ht="15.75" customHeight="1">
      <c r="A205" s="28"/>
      <c r="B205" s="28"/>
      <c r="C205" s="45"/>
      <c r="D205" s="50"/>
      <c r="E205" s="28"/>
      <c r="F205" s="28"/>
      <c r="G205" s="49"/>
      <c r="H205" s="49"/>
      <c r="I205" s="49"/>
      <c r="J205" s="49"/>
      <c r="K205" s="106"/>
      <c r="L205" s="34"/>
      <c r="M205" s="45"/>
      <c r="N205" s="34"/>
      <c r="O205" s="50"/>
    </row>
    <row r="206" ht="15.75" customHeight="1">
      <c r="A206" s="28"/>
      <c r="B206" s="28"/>
      <c r="C206" s="45"/>
      <c r="D206" s="50"/>
      <c r="E206" s="28"/>
      <c r="F206" s="28"/>
      <c r="G206" s="49"/>
      <c r="H206" s="49"/>
      <c r="I206" s="49"/>
      <c r="J206" s="49"/>
      <c r="K206" s="106"/>
      <c r="L206" s="34"/>
      <c r="M206" s="45"/>
      <c r="N206" s="34"/>
      <c r="O206" s="50"/>
    </row>
    <row r="207" ht="15.75" customHeight="1">
      <c r="A207" s="28"/>
      <c r="B207" s="28"/>
      <c r="C207" s="45"/>
      <c r="D207" s="50"/>
      <c r="E207" s="28"/>
      <c r="F207" s="28"/>
      <c r="G207" s="49"/>
      <c r="H207" s="49"/>
      <c r="I207" s="49"/>
      <c r="J207" s="49"/>
      <c r="K207" s="106"/>
      <c r="L207" s="34"/>
      <c r="M207" s="45"/>
      <c r="N207" s="34"/>
      <c r="O207" s="50"/>
    </row>
    <row r="208" ht="15.75" customHeight="1">
      <c r="A208" s="28"/>
      <c r="B208" s="28"/>
      <c r="C208" s="45"/>
      <c r="D208" s="50"/>
      <c r="E208" s="28"/>
      <c r="F208" s="28"/>
      <c r="G208" s="49"/>
      <c r="H208" s="49"/>
      <c r="I208" s="49"/>
      <c r="J208" s="49"/>
      <c r="K208" s="106"/>
      <c r="L208" s="34"/>
      <c r="M208" s="45"/>
      <c r="N208" s="34"/>
      <c r="O208" s="50"/>
    </row>
    <row r="209" ht="15.75" customHeight="1">
      <c r="A209" s="28"/>
      <c r="B209" s="28"/>
      <c r="C209" s="45"/>
      <c r="D209" s="50"/>
      <c r="E209" s="28"/>
      <c r="F209" s="28"/>
      <c r="G209" s="49"/>
      <c r="H209" s="49"/>
      <c r="I209" s="49"/>
      <c r="J209" s="49"/>
      <c r="K209" s="106"/>
      <c r="L209" s="34"/>
      <c r="M209" s="45"/>
      <c r="N209" s="34"/>
      <c r="O209" s="50"/>
    </row>
    <row r="210" ht="15.75" customHeight="1">
      <c r="A210" s="28"/>
      <c r="B210" s="28"/>
      <c r="C210" s="45"/>
      <c r="D210" s="50"/>
      <c r="E210" s="28"/>
      <c r="F210" s="28"/>
      <c r="G210" s="49"/>
      <c r="H210" s="49"/>
      <c r="I210" s="49"/>
      <c r="J210" s="49"/>
      <c r="K210" s="106"/>
      <c r="L210" s="34"/>
      <c r="M210" s="45"/>
      <c r="N210" s="34"/>
      <c r="O210" s="50"/>
    </row>
    <row r="211" ht="15.75" customHeight="1">
      <c r="A211" s="28"/>
      <c r="B211" s="28"/>
      <c r="C211" s="45"/>
      <c r="D211" s="50"/>
      <c r="E211" s="28"/>
      <c r="F211" s="28"/>
      <c r="G211" s="49"/>
      <c r="H211" s="49"/>
      <c r="I211" s="49"/>
      <c r="J211" s="49"/>
      <c r="K211" s="106"/>
      <c r="L211" s="34"/>
      <c r="M211" s="45"/>
      <c r="N211" s="34"/>
      <c r="O211" s="50"/>
    </row>
    <row r="212" ht="15.75" customHeight="1">
      <c r="A212" s="28"/>
      <c r="B212" s="28"/>
      <c r="C212" s="45"/>
      <c r="D212" s="50"/>
      <c r="E212" s="28"/>
      <c r="F212" s="28"/>
      <c r="G212" s="49"/>
      <c r="H212" s="49"/>
      <c r="I212" s="49"/>
      <c r="J212" s="49"/>
      <c r="K212" s="106"/>
      <c r="L212" s="34"/>
      <c r="M212" s="45"/>
      <c r="N212" s="34"/>
      <c r="O212" s="50"/>
    </row>
    <row r="213" ht="15.75" customHeight="1">
      <c r="A213" s="28"/>
      <c r="B213" s="28"/>
      <c r="C213" s="45"/>
      <c r="D213" s="50"/>
      <c r="E213" s="28"/>
      <c r="F213" s="28"/>
      <c r="G213" s="49"/>
      <c r="H213" s="49"/>
      <c r="I213" s="49"/>
      <c r="J213" s="49"/>
      <c r="K213" s="106"/>
      <c r="L213" s="34"/>
      <c r="M213" s="45"/>
      <c r="N213" s="34"/>
      <c r="O213" s="50"/>
    </row>
    <row r="214" ht="15.75" customHeight="1">
      <c r="A214" s="28"/>
      <c r="B214" s="28"/>
      <c r="C214" s="45"/>
      <c r="D214" s="50"/>
      <c r="E214" s="28"/>
      <c r="F214" s="28"/>
      <c r="G214" s="49"/>
      <c r="H214" s="49"/>
      <c r="I214" s="49"/>
      <c r="J214" s="49"/>
      <c r="K214" s="106"/>
      <c r="L214" s="34"/>
      <c r="M214" s="45"/>
      <c r="N214" s="34"/>
      <c r="O214" s="50"/>
    </row>
    <row r="215" ht="15.75" customHeight="1">
      <c r="A215" s="28"/>
      <c r="B215" s="28"/>
      <c r="C215" s="45"/>
      <c r="D215" s="50"/>
      <c r="E215" s="28"/>
      <c r="F215" s="28"/>
      <c r="G215" s="49"/>
      <c r="H215" s="49"/>
      <c r="I215" s="49"/>
      <c r="J215" s="49"/>
      <c r="K215" s="106"/>
      <c r="L215" s="34"/>
      <c r="M215" s="45"/>
      <c r="N215" s="34"/>
      <c r="O215" s="50"/>
    </row>
    <row r="216" ht="15.75" customHeight="1">
      <c r="A216" s="28"/>
      <c r="B216" s="28"/>
      <c r="C216" s="45"/>
      <c r="D216" s="50"/>
      <c r="E216" s="28"/>
      <c r="F216" s="28"/>
      <c r="G216" s="49"/>
      <c r="H216" s="49"/>
      <c r="I216" s="49"/>
      <c r="J216" s="49"/>
      <c r="K216" s="106"/>
      <c r="L216" s="34"/>
      <c r="M216" s="45"/>
      <c r="N216" s="34"/>
      <c r="O216" s="50"/>
    </row>
    <row r="217" ht="15.75" customHeight="1">
      <c r="A217" s="28"/>
      <c r="B217" s="28"/>
      <c r="C217" s="45"/>
      <c r="D217" s="50"/>
      <c r="E217" s="28"/>
      <c r="F217" s="28"/>
      <c r="G217" s="49"/>
      <c r="H217" s="49"/>
      <c r="I217" s="49"/>
      <c r="J217" s="49"/>
      <c r="K217" s="106"/>
      <c r="L217" s="34"/>
      <c r="M217" s="45"/>
      <c r="N217" s="34"/>
      <c r="O217" s="50"/>
    </row>
    <row r="218" ht="15.75" customHeight="1">
      <c r="A218" s="28"/>
      <c r="B218" s="28"/>
      <c r="C218" s="45"/>
      <c r="D218" s="50"/>
      <c r="E218" s="28"/>
      <c r="F218" s="28"/>
      <c r="G218" s="49"/>
      <c r="H218" s="49"/>
      <c r="I218" s="49"/>
      <c r="J218" s="49"/>
      <c r="K218" s="106"/>
      <c r="L218" s="34"/>
      <c r="M218" s="45"/>
      <c r="N218" s="34"/>
      <c r="O218" s="50"/>
    </row>
    <row r="219" ht="15.75" customHeight="1">
      <c r="A219" s="28"/>
      <c r="B219" s="28"/>
      <c r="C219" s="45"/>
      <c r="D219" s="50"/>
      <c r="E219" s="28"/>
      <c r="F219" s="28"/>
      <c r="G219" s="49"/>
      <c r="H219" s="49"/>
      <c r="I219" s="49"/>
      <c r="J219" s="49"/>
      <c r="K219" s="106"/>
      <c r="L219" s="34"/>
      <c r="M219" s="45"/>
      <c r="N219" s="34"/>
      <c r="O219" s="50"/>
    </row>
    <row r="220" ht="15.75" customHeight="1">
      <c r="A220" s="107" t="s">
        <v>75</v>
      </c>
      <c r="B220" s="108"/>
      <c r="C220" s="109"/>
      <c r="D220" s="110"/>
      <c r="E220" s="108"/>
      <c r="F220" s="108"/>
      <c r="G220" s="108"/>
      <c r="H220" s="108"/>
      <c r="I220" s="108"/>
      <c r="J220" s="108"/>
      <c r="K220" s="108"/>
      <c r="L220" s="113"/>
      <c r="M220" s="114">
        <f t="shared" ref="M220:N220" si="16">SUM(M221:M239)</f>
        <v>0</v>
      </c>
      <c r="N220" s="113">
        <f t="shared" si="16"/>
        <v>0</v>
      </c>
      <c r="O220" s="115">
        <f>AVERAGE(O221:O239)</f>
        <v>0</v>
      </c>
    </row>
    <row r="221" ht="15.75" customHeight="1">
      <c r="A221" s="28"/>
      <c r="B221" s="28"/>
      <c r="C221" s="45"/>
      <c r="D221" s="50"/>
      <c r="E221" s="28"/>
      <c r="F221" s="28"/>
      <c r="G221" s="49"/>
      <c r="H221" s="49"/>
      <c r="I221" s="49"/>
      <c r="J221" s="49"/>
      <c r="K221" s="106"/>
      <c r="L221" s="34"/>
      <c r="M221" s="45"/>
      <c r="N221" s="34"/>
      <c r="O221" s="50">
        <v>0.0</v>
      </c>
    </row>
    <row r="222" ht="15.75" customHeight="1">
      <c r="A222" s="28"/>
      <c r="B222" s="28"/>
      <c r="C222" s="45"/>
      <c r="D222" s="50"/>
      <c r="E222" s="28"/>
      <c r="F222" s="28"/>
      <c r="G222" s="49"/>
      <c r="H222" s="49"/>
      <c r="I222" s="49"/>
      <c r="J222" s="49"/>
      <c r="K222" s="106"/>
      <c r="L222" s="34"/>
      <c r="M222" s="45"/>
      <c r="N222" s="34"/>
      <c r="O222" s="50"/>
    </row>
    <row r="223" ht="15.75" customHeight="1">
      <c r="A223" s="28"/>
      <c r="B223" s="28"/>
      <c r="C223" s="45"/>
      <c r="D223" s="50"/>
      <c r="E223" s="28"/>
      <c r="F223" s="28"/>
      <c r="G223" s="49"/>
      <c r="H223" s="49"/>
      <c r="I223" s="49"/>
      <c r="J223" s="49"/>
      <c r="K223" s="106"/>
      <c r="L223" s="34"/>
      <c r="M223" s="45"/>
      <c r="N223" s="34"/>
      <c r="O223" s="50"/>
    </row>
    <row r="224" ht="15.75" customHeight="1">
      <c r="A224" s="28"/>
      <c r="B224" s="28"/>
      <c r="C224" s="45"/>
      <c r="D224" s="50"/>
      <c r="E224" s="28"/>
      <c r="F224" s="28"/>
      <c r="G224" s="49"/>
      <c r="H224" s="49"/>
      <c r="I224" s="49"/>
      <c r="J224" s="49"/>
      <c r="K224" s="106"/>
      <c r="L224" s="34"/>
      <c r="M224" s="45"/>
      <c r="N224" s="34"/>
      <c r="O224" s="50"/>
    </row>
    <row r="225" ht="15.75" customHeight="1">
      <c r="A225" s="28"/>
      <c r="B225" s="28"/>
      <c r="C225" s="45"/>
      <c r="D225" s="50"/>
      <c r="E225" s="28"/>
      <c r="F225" s="28"/>
      <c r="G225" s="49"/>
      <c r="H225" s="49"/>
      <c r="I225" s="49"/>
      <c r="J225" s="49"/>
      <c r="K225" s="106"/>
      <c r="L225" s="34"/>
      <c r="M225" s="45"/>
      <c r="N225" s="34"/>
      <c r="O225" s="50"/>
    </row>
    <row r="226" ht="15.75" customHeight="1">
      <c r="A226" s="28"/>
      <c r="B226" s="28"/>
      <c r="C226" s="45"/>
      <c r="D226" s="50"/>
      <c r="E226" s="28"/>
      <c r="F226" s="28"/>
      <c r="G226" s="49"/>
      <c r="H226" s="49"/>
      <c r="I226" s="49"/>
      <c r="J226" s="49"/>
      <c r="K226" s="106"/>
      <c r="L226" s="34"/>
      <c r="M226" s="45"/>
      <c r="N226" s="34"/>
      <c r="O226" s="50"/>
    </row>
    <row r="227" ht="15.75" customHeight="1">
      <c r="A227" s="28"/>
      <c r="B227" s="28"/>
      <c r="C227" s="45"/>
      <c r="D227" s="50"/>
      <c r="E227" s="28"/>
      <c r="F227" s="28"/>
      <c r="G227" s="49"/>
      <c r="H227" s="49"/>
      <c r="I227" s="49"/>
      <c r="J227" s="49"/>
      <c r="K227" s="106"/>
      <c r="L227" s="34"/>
      <c r="M227" s="45"/>
      <c r="N227" s="34"/>
      <c r="O227" s="50"/>
    </row>
    <row r="228" ht="15.75" customHeight="1">
      <c r="A228" s="28"/>
      <c r="B228" s="28"/>
      <c r="C228" s="45"/>
      <c r="D228" s="50"/>
      <c r="E228" s="28"/>
      <c r="F228" s="28"/>
      <c r="G228" s="49"/>
      <c r="H228" s="49"/>
      <c r="I228" s="49"/>
      <c r="J228" s="49"/>
      <c r="K228" s="106"/>
      <c r="L228" s="34"/>
      <c r="M228" s="45"/>
      <c r="N228" s="34"/>
      <c r="O228" s="50"/>
    </row>
    <row r="229" ht="15.75" customHeight="1">
      <c r="A229" s="28"/>
      <c r="B229" s="28"/>
      <c r="C229" s="45"/>
      <c r="D229" s="50"/>
      <c r="E229" s="28"/>
      <c r="F229" s="28"/>
      <c r="G229" s="49"/>
      <c r="H229" s="49"/>
      <c r="I229" s="49"/>
      <c r="J229" s="49"/>
      <c r="K229" s="106"/>
      <c r="L229" s="34"/>
      <c r="M229" s="45"/>
      <c r="N229" s="34"/>
      <c r="O229" s="50"/>
    </row>
    <row r="230" ht="15.75" customHeight="1">
      <c r="A230" s="28"/>
      <c r="B230" s="28"/>
      <c r="C230" s="45"/>
      <c r="D230" s="50"/>
      <c r="E230" s="28"/>
      <c r="F230" s="28"/>
      <c r="G230" s="49"/>
      <c r="H230" s="49"/>
      <c r="I230" s="49"/>
      <c r="J230" s="49"/>
      <c r="K230" s="106"/>
      <c r="L230" s="34"/>
      <c r="M230" s="45"/>
      <c r="N230" s="34"/>
      <c r="O230" s="50"/>
    </row>
    <row r="231" ht="15.75" customHeight="1">
      <c r="A231" s="28"/>
      <c r="B231" s="28"/>
      <c r="C231" s="45"/>
      <c r="D231" s="50"/>
      <c r="E231" s="28"/>
      <c r="F231" s="28"/>
      <c r="G231" s="49"/>
      <c r="H231" s="49"/>
      <c r="I231" s="49"/>
      <c r="J231" s="49"/>
      <c r="K231" s="106"/>
      <c r="L231" s="34"/>
      <c r="M231" s="45"/>
      <c r="N231" s="34"/>
      <c r="O231" s="50"/>
    </row>
    <row r="232" ht="15.75" customHeight="1">
      <c r="A232" s="28"/>
      <c r="B232" s="28"/>
      <c r="C232" s="45"/>
      <c r="D232" s="50"/>
      <c r="E232" s="28"/>
      <c r="F232" s="28"/>
      <c r="G232" s="49"/>
      <c r="H232" s="49"/>
      <c r="I232" s="49"/>
      <c r="J232" s="49"/>
      <c r="K232" s="106"/>
      <c r="L232" s="34"/>
      <c r="M232" s="45"/>
      <c r="N232" s="34"/>
      <c r="O232" s="50"/>
    </row>
    <row r="233" ht="15.75" customHeight="1">
      <c r="A233" s="28"/>
      <c r="B233" s="28"/>
      <c r="C233" s="45"/>
      <c r="D233" s="50"/>
      <c r="E233" s="28"/>
      <c r="F233" s="28"/>
      <c r="G233" s="49"/>
      <c r="H233" s="49"/>
      <c r="I233" s="49"/>
      <c r="J233" s="49"/>
      <c r="K233" s="106"/>
      <c r="L233" s="34"/>
      <c r="M233" s="45"/>
      <c r="N233" s="34"/>
      <c r="O233" s="50"/>
    </row>
    <row r="234" ht="15.75" customHeight="1">
      <c r="A234" s="28"/>
      <c r="B234" s="28"/>
      <c r="C234" s="45"/>
      <c r="D234" s="50"/>
      <c r="E234" s="28"/>
      <c r="F234" s="28"/>
      <c r="G234" s="49"/>
      <c r="H234" s="49"/>
      <c r="I234" s="49"/>
      <c r="J234" s="49"/>
      <c r="K234" s="106"/>
      <c r="L234" s="34"/>
      <c r="M234" s="45"/>
      <c r="N234" s="34"/>
      <c r="O234" s="50"/>
    </row>
    <row r="235" ht="15.75" customHeight="1">
      <c r="A235" s="28"/>
      <c r="B235" s="28"/>
      <c r="C235" s="45"/>
      <c r="D235" s="50"/>
      <c r="E235" s="28"/>
      <c r="F235" s="28"/>
      <c r="G235" s="49"/>
      <c r="H235" s="49"/>
      <c r="I235" s="49"/>
      <c r="J235" s="49"/>
      <c r="K235" s="106"/>
      <c r="L235" s="34"/>
      <c r="M235" s="45"/>
      <c r="N235" s="34"/>
      <c r="O235" s="50"/>
    </row>
    <row r="236" ht="15.75" customHeight="1">
      <c r="A236" s="28"/>
      <c r="B236" s="28"/>
      <c r="C236" s="45"/>
      <c r="D236" s="50"/>
      <c r="E236" s="28"/>
      <c r="F236" s="28"/>
      <c r="G236" s="49"/>
      <c r="H236" s="49"/>
      <c r="I236" s="49"/>
      <c r="J236" s="49"/>
      <c r="K236" s="106"/>
      <c r="L236" s="34"/>
      <c r="M236" s="45"/>
      <c r="N236" s="34"/>
      <c r="O236" s="50"/>
    </row>
    <row r="237" ht="15.75" customHeight="1">
      <c r="A237" s="28"/>
      <c r="B237" s="28"/>
      <c r="C237" s="45"/>
      <c r="D237" s="50"/>
      <c r="E237" s="28"/>
      <c r="F237" s="28"/>
      <c r="G237" s="49"/>
      <c r="H237" s="49"/>
      <c r="I237" s="49"/>
      <c r="J237" s="49"/>
      <c r="K237" s="106"/>
      <c r="L237" s="34"/>
      <c r="M237" s="45"/>
      <c r="N237" s="34"/>
      <c r="O237" s="50"/>
    </row>
    <row r="238" ht="15.75" customHeight="1">
      <c r="A238" s="28"/>
      <c r="B238" s="28"/>
      <c r="C238" s="45"/>
      <c r="D238" s="50"/>
      <c r="E238" s="28"/>
      <c r="F238" s="28"/>
      <c r="G238" s="49"/>
      <c r="H238" s="49"/>
      <c r="I238" s="49"/>
      <c r="J238" s="49"/>
      <c r="K238" s="106"/>
      <c r="L238" s="34"/>
      <c r="M238" s="45"/>
      <c r="N238" s="34"/>
      <c r="O238" s="50"/>
    </row>
    <row r="239" ht="15.75" customHeight="1">
      <c r="A239" s="28"/>
      <c r="B239" s="28"/>
      <c r="C239" s="45"/>
      <c r="D239" s="50"/>
      <c r="E239" s="28"/>
      <c r="F239" s="28"/>
      <c r="G239" s="49"/>
      <c r="H239" s="49"/>
      <c r="I239" s="49"/>
      <c r="J239" s="49"/>
      <c r="K239" s="106"/>
      <c r="L239" s="34"/>
      <c r="M239" s="45"/>
      <c r="N239" s="34"/>
      <c r="O239" s="50"/>
    </row>
    <row r="240" ht="15.75" customHeight="1">
      <c r="A240" s="28"/>
      <c r="B240" s="28"/>
      <c r="C240" s="45"/>
      <c r="D240" s="50"/>
      <c r="E240" s="28"/>
      <c r="F240" s="28"/>
      <c r="G240" s="49"/>
      <c r="H240" s="49"/>
      <c r="I240" s="49"/>
      <c r="J240" s="49"/>
      <c r="K240" s="106"/>
      <c r="L240" s="34"/>
      <c r="M240" s="45"/>
      <c r="N240" s="34"/>
      <c r="O240" s="50"/>
    </row>
    <row r="241" ht="15.75" customHeight="1">
      <c r="A241" s="28"/>
      <c r="B241" s="28"/>
      <c r="C241" s="45"/>
      <c r="D241" s="50"/>
      <c r="E241" s="28"/>
      <c r="F241" s="28"/>
      <c r="G241" s="49"/>
      <c r="H241" s="49"/>
      <c r="I241" s="49"/>
      <c r="J241" s="49"/>
      <c r="K241" s="106"/>
      <c r="L241" s="34"/>
      <c r="M241" s="45"/>
      <c r="N241" s="34"/>
      <c r="O241" s="50"/>
    </row>
    <row r="242" ht="15.75" customHeight="1">
      <c r="A242" s="28"/>
      <c r="B242" s="28"/>
      <c r="C242" s="45"/>
      <c r="D242" s="50"/>
      <c r="E242" s="28"/>
      <c r="F242" s="28"/>
      <c r="G242" s="49"/>
      <c r="H242" s="49"/>
      <c r="I242" s="49"/>
      <c r="J242" s="49"/>
      <c r="K242" s="106"/>
      <c r="L242" s="34"/>
      <c r="M242" s="45"/>
      <c r="N242" s="34"/>
      <c r="O242" s="50"/>
    </row>
    <row r="243" ht="15.75" customHeight="1">
      <c r="A243" s="28"/>
      <c r="B243" s="28"/>
      <c r="C243" s="45"/>
      <c r="D243" s="50"/>
      <c r="E243" s="28"/>
      <c r="F243" s="28"/>
      <c r="G243" s="49"/>
      <c r="H243" s="49"/>
      <c r="I243" s="49"/>
      <c r="J243" s="49"/>
      <c r="K243" s="106"/>
      <c r="L243" s="34"/>
      <c r="M243" s="45"/>
      <c r="N243" s="34"/>
      <c r="O243" s="50"/>
    </row>
    <row r="244" ht="15.75" customHeight="1">
      <c r="A244" s="28"/>
      <c r="B244" s="28"/>
      <c r="C244" s="45"/>
      <c r="D244" s="50"/>
      <c r="E244" s="28"/>
      <c r="F244" s="28"/>
      <c r="G244" s="49"/>
      <c r="H244" s="49"/>
      <c r="I244" s="49"/>
      <c r="J244" s="49"/>
      <c r="K244" s="106"/>
      <c r="L244" s="34"/>
      <c r="M244" s="45"/>
      <c r="N244" s="34"/>
      <c r="O244" s="50"/>
    </row>
    <row r="245" ht="15.75" customHeight="1">
      <c r="A245" s="28"/>
      <c r="B245" s="28"/>
      <c r="C245" s="45"/>
      <c r="D245" s="50"/>
      <c r="E245" s="28"/>
      <c r="F245" s="28"/>
      <c r="G245" s="49"/>
      <c r="H245" s="49"/>
      <c r="I245" s="49"/>
      <c r="J245" s="49"/>
      <c r="K245" s="106"/>
      <c r="L245" s="34"/>
      <c r="M245" s="45"/>
      <c r="N245" s="34"/>
      <c r="O245" s="50"/>
    </row>
    <row r="246" ht="15.75" customHeight="1">
      <c r="A246" s="28"/>
      <c r="B246" s="28"/>
      <c r="C246" s="45"/>
      <c r="D246" s="50"/>
      <c r="E246" s="28"/>
      <c r="F246" s="28"/>
      <c r="G246" s="49"/>
      <c r="H246" s="49"/>
      <c r="I246" s="49"/>
      <c r="J246" s="49"/>
      <c r="K246" s="106"/>
      <c r="L246" s="34"/>
      <c r="M246" s="45"/>
      <c r="N246" s="34"/>
      <c r="O246" s="50"/>
    </row>
    <row r="247" ht="15.75" customHeight="1">
      <c r="A247" s="28"/>
      <c r="B247" s="28"/>
      <c r="C247" s="45"/>
      <c r="D247" s="50"/>
      <c r="E247" s="28"/>
      <c r="F247" s="28"/>
      <c r="G247" s="49"/>
      <c r="H247" s="49"/>
      <c r="I247" s="49"/>
      <c r="J247" s="49"/>
      <c r="K247" s="106"/>
      <c r="L247" s="34"/>
      <c r="M247" s="45"/>
      <c r="N247" s="34"/>
      <c r="O247" s="50"/>
    </row>
    <row r="248" ht="15.75" customHeight="1">
      <c r="A248" s="28"/>
      <c r="B248" s="28"/>
      <c r="C248" s="45"/>
      <c r="D248" s="50"/>
      <c r="E248" s="28"/>
      <c r="F248" s="28"/>
      <c r="G248" s="49"/>
      <c r="H248" s="49"/>
      <c r="I248" s="49"/>
      <c r="J248" s="49"/>
      <c r="K248" s="106"/>
      <c r="L248" s="34"/>
      <c r="M248" s="45"/>
      <c r="N248" s="34"/>
      <c r="O248" s="50"/>
    </row>
    <row r="249" ht="15.75" customHeight="1">
      <c r="A249" s="28"/>
      <c r="B249" s="28"/>
      <c r="C249" s="45"/>
      <c r="D249" s="50"/>
      <c r="E249" s="28"/>
      <c r="F249" s="28"/>
      <c r="G249" s="49"/>
      <c r="H249" s="49"/>
      <c r="I249" s="49"/>
      <c r="J249" s="49"/>
      <c r="K249" s="106"/>
      <c r="L249" s="34"/>
      <c r="M249" s="45"/>
      <c r="N249" s="34"/>
      <c r="O249" s="50"/>
    </row>
    <row r="250" ht="15.75" customHeight="1">
      <c r="A250" s="28"/>
      <c r="B250" s="28"/>
      <c r="C250" s="45"/>
      <c r="D250" s="50"/>
      <c r="E250" s="28"/>
      <c r="F250" s="28"/>
      <c r="G250" s="49"/>
      <c r="H250" s="49"/>
      <c r="I250" s="49"/>
      <c r="J250" s="49"/>
      <c r="K250" s="106"/>
      <c r="L250" s="34"/>
      <c r="M250" s="45"/>
      <c r="N250" s="34"/>
      <c r="O250" s="50"/>
    </row>
    <row r="251" ht="15.75" customHeight="1">
      <c r="A251" s="28"/>
      <c r="B251" s="28"/>
      <c r="C251" s="45"/>
      <c r="D251" s="50"/>
      <c r="E251" s="28"/>
      <c r="F251" s="28"/>
      <c r="G251" s="49"/>
      <c r="H251" s="49"/>
      <c r="I251" s="49"/>
      <c r="J251" s="49"/>
      <c r="K251" s="106"/>
      <c r="L251" s="34"/>
      <c r="M251" s="45"/>
      <c r="N251" s="34"/>
      <c r="O251" s="50"/>
    </row>
    <row r="252" ht="15.75" customHeight="1">
      <c r="A252" s="28"/>
      <c r="B252" s="28"/>
      <c r="C252" s="45"/>
      <c r="D252" s="50"/>
      <c r="E252" s="28"/>
      <c r="F252" s="28"/>
      <c r="G252" s="49"/>
      <c r="H252" s="49"/>
      <c r="I252" s="49"/>
      <c r="J252" s="49"/>
      <c r="K252" s="106"/>
      <c r="L252" s="34"/>
      <c r="M252" s="45"/>
      <c r="N252" s="34"/>
      <c r="O252" s="50"/>
    </row>
    <row r="253" ht="15.75" customHeight="1">
      <c r="A253" s="28"/>
      <c r="B253" s="28"/>
      <c r="C253" s="45"/>
      <c r="D253" s="50"/>
      <c r="E253" s="28"/>
      <c r="F253" s="28"/>
      <c r="G253" s="49"/>
      <c r="H253" s="49"/>
      <c r="I253" s="49"/>
      <c r="J253" s="49"/>
      <c r="K253" s="106"/>
      <c r="L253" s="34"/>
      <c r="M253" s="45"/>
      <c r="N253" s="34"/>
      <c r="O253" s="50"/>
    </row>
    <row r="254" ht="15.75" customHeight="1">
      <c r="A254" s="28"/>
      <c r="B254" s="28"/>
      <c r="C254" s="45"/>
      <c r="D254" s="50"/>
      <c r="E254" s="28"/>
      <c r="F254" s="28"/>
      <c r="G254" s="49"/>
      <c r="H254" s="49"/>
      <c r="I254" s="49"/>
      <c r="J254" s="49"/>
      <c r="K254" s="106"/>
      <c r="L254" s="34"/>
      <c r="M254" s="45"/>
      <c r="N254" s="34"/>
      <c r="O254" s="50"/>
    </row>
    <row r="255" ht="15.75" customHeight="1">
      <c r="A255" s="28"/>
      <c r="B255" s="28"/>
      <c r="C255" s="45"/>
      <c r="D255" s="50"/>
      <c r="E255" s="28"/>
      <c r="F255" s="28"/>
      <c r="G255" s="49"/>
      <c r="H255" s="49"/>
      <c r="I255" s="49"/>
      <c r="J255" s="49"/>
      <c r="K255" s="106"/>
      <c r="L255" s="34"/>
      <c r="M255" s="45"/>
      <c r="N255" s="34"/>
      <c r="O255" s="50"/>
    </row>
    <row r="256" ht="15.75" customHeight="1">
      <c r="A256" s="28"/>
      <c r="B256" s="28"/>
      <c r="C256" s="45"/>
      <c r="D256" s="50"/>
      <c r="E256" s="28"/>
      <c r="F256" s="28"/>
      <c r="G256" s="49"/>
      <c r="H256" s="49"/>
      <c r="I256" s="49"/>
      <c r="J256" s="49"/>
      <c r="K256" s="106"/>
      <c r="L256" s="34"/>
      <c r="M256" s="45"/>
      <c r="N256" s="34"/>
      <c r="O256" s="50"/>
    </row>
    <row r="257" ht="15.75" customHeight="1">
      <c r="A257" s="28"/>
      <c r="B257" s="28"/>
      <c r="C257" s="45"/>
      <c r="D257" s="50"/>
      <c r="E257" s="28"/>
      <c r="F257" s="28"/>
      <c r="G257" s="49"/>
      <c r="H257" s="49"/>
      <c r="I257" s="49"/>
      <c r="J257" s="49"/>
      <c r="K257" s="106"/>
      <c r="L257" s="34"/>
      <c r="M257" s="45"/>
      <c r="N257" s="34"/>
      <c r="O257" s="50"/>
    </row>
    <row r="258" ht="15.75" customHeight="1">
      <c r="A258" s="28"/>
      <c r="B258" s="28"/>
      <c r="C258" s="45"/>
      <c r="D258" s="50"/>
      <c r="E258" s="28"/>
      <c r="F258" s="28"/>
      <c r="G258" s="49"/>
      <c r="H258" s="49"/>
      <c r="I258" s="49"/>
      <c r="J258" s="49"/>
      <c r="K258" s="106"/>
      <c r="L258" s="34"/>
      <c r="M258" s="45"/>
      <c r="N258" s="34"/>
      <c r="O258" s="50"/>
    </row>
    <row r="259" ht="15.75" customHeight="1">
      <c r="A259" s="28"/>
      <c r="B259" s="28"/>
      <c r="C259" s="45"/>
      <c r="D259" s="50"/>
      <c r="E259" s="28"/>
      <c r="F259" s="28"/>
      <c r="G259" s="49"/>
      <c r="H259" s="49"/>
      <c r="I259" s="49"/>
      <c r="J259" s="49"/>
      <c r="K259" s="106"/>
      <c r="L259" s="34"/>
      <c r="M259" s="45"/>
      <c r="N259" s="34"/>
      <c r="O259" s="50"/>
    </row>
    <row r="260" ht="15.75" customHeight="1">
      <c r="A260" s="28"/>
      <c r="B260" s="28"/>
      <c r="C260" s="45"/>
      <c r="D260" s="50"/>
      <c r="E260" s="28"/>
      <c r="F260" s="28"/>
      <c r="G260" s="49"/>
      <c r="H260" s="49"/>
      <c r="I260" s="49"/>
      <c r="J260" s="49"/>
      <c r="K260" s="106"/>
      <c r="L260" s="34"/>
      <c r="M260" s="45"/>
      <c r="N260" s="34"/>
      <c r="O260" s="50"/>
    </row>
    <row r="261" ht="15.75" customHeight="1">
      <c r="A261" s="28"/>
      <c r="B261" s="28"/>
      <c r="C261" s="45"/>
      <c r="D261" s="50"/>
      <c r="E261" s="28"/>
      <c r="F261" s="28"/>
      <c r="G261" s="49"/>
      <c r="H261" s="49"/>
      <c r="I261" s="49"/>
      <c r="J261" s="49"/>
      <c r="K261" s="106"/>
      <c r="L261" s="34"/>
      <c r="M261" s="45"/>
      <c r="N261" s="34"/>
      <c r="O261" s="50"/>
    </row>
    <row r="262" ht="15.75" customHeight="1">
      <c r="A262" s="28"/>
      <c r="B262" s="28"/>
      <c r="C262" s="45"/>
      <c r="D262" s="50"/>
      <c r="E262" s="28"/>
      <c r="F262" s="28"/>
      <c r="G262" s="49"/>
      <c r="H262" s="49"/>
      <c r="I262" s="49"/>
      <c r="J262" s="49"/>
      <c r="K262" s="106"/>
      <c r="L262" s="34"/>
      <c r="M262" s="45"/>
      <c r="N262" s="34"/>
      <c r="O262" s="50"/>
    </row>
    <row r="263" ht="15.75" customHeight="1">
      <c r="A263" s="28"/>
      <c r="B263" s="28"/>
      <c r="C263" s="45"/>
      <c r="D263" s="50"/>
      <c r="E263" s="28"/>
      <c r="F263" s="28"/>
      <c r="G263" s="49"/>
      <c r="H263" s="49"/>
      <c r="I263" s="49"/>
      <c r="J263" s="49"/>
      <c r="K263" s="106"/>
      <c r="L263" s="34"/>
      <c r="M263" s="45"/>
      <c r="N263" s="34"/>
      <c r="O263" s="50"/>
    </row>
    <row r="264" ht="15.75" customHeight="1">
      <c r="A264" s="28"/>
      <c r="B264" s="28"/>
      <c r="C264" s="45"/>
      <c r="D264" s="50"/>
      <c r="E264" s="28"/>
      <c r="F264" s="28"/>
      <c r="G264" s="49"/>
      <c r="H264" s="49"/>
      <c r="I264" s="49"/>
      <c r="J264" s="49"/>
      <c r="K264" s="106"/>
      <c r="L264" s="34"/>
      <c r="M264" s="45"/>
      <c r="N264" s="34"/>
      <c r="O264" s="50"/>
    </row>
    <row r="265" ht="15.75" customHeight="1">
      <c r="A265" s="28"/>
      <c r="B265" s="28"/>
      <c r="C265" s="45"/>
      <c r="D265" s="50"/>
      <c r="E265" s="28"/>
      <c r="F265" s="28"/>
      <c r="G265" s="49"/>
      <c r="H265" s="49"/>
      <c r="I265" s="49"/>
      <c r="J265" s="49"/>
      <c r="K265" s="106"/>
      <c r="L265" s="34"/>
      <c r="M265" s="45"/>
      <c r="N265" s="34"/>
      <c r="O265" s="50"/>
    </row>
    <row r="266" ht="15.75" customHeight="1">
      <c r="A266" s="28"/>
      <c r="B266" s="28"/>
      <c r="C266" s="45"/>
      <c r="D266" s="50"/>
      <c r="E266" s="28"/>
      <c r="F266" s="28"/>
      <c r="G266" s="49"/>
      <c r="H266" s="49"/>
      <c r="I266" s="49"/>
      <c r="J266" s="49"/>
      <c r="K266" s="106"/>
      <c r="L266" s="34"/>
      <c r="M266" s="45"/>
      <c r="N266" s="34"/>
      <c r="O266" s="50"/>
    </row>
    <row r="267" ht="15.75" customHeight="1">
      <c r="A267" s="28"/>
      <c r="B267" s="28"/>
      <c r="C267" s="45"/>
      <c r="D267" s="50"/>
      <c r="E267" s="28"/>
      <c r="F267" s="28"/>
      <c r="G267" s="49"/>
      <c r="H267" s="49"/>
      <c r="I267" s="49"/>
      <c r="J267" s="49"/>
      <c r="K267" s="106"/>
      <c r="L267" s="34"/>
      <c r="M267" s="45"/>
      <c r="N267" s="34"/>
      <c r="O267" s="50"/>
    </row>
    <row r="268" ht="15.75" customHeight="1">
      <c r="A268" s="28"/>
      <c r="B268" s="28"/>
      <c r="C268" s="45"/>
      <c r="D268" s="50"/>
      <c r="E268" s="28"/>
      <c r="F268" s="28"/>
      <c r="G268" s="49"/>
      <c r="H268" s="49"/>
      <c r="I268" s="49"/>
      <c r="J268" s="49"/>
      <c r="K268" s="106"/>
      <c r="L268" s="34"/>
      <c r="M268" s="45"/>
      <c r="N268" s="34"/>
      <c r="O268" s="50"/>
    </row>
    <row r="269" ht="15.75" customHeight="1">
      <c r="A269" s="28"/>
      <c r="B269" s="28"/>
      <c r="C269" s="45"/>
      <c r="D269" s="50"/>
      <c r="E269" s="28"/>
      <c r="F269" s="28"/>
      <c r="G269" s="49"/>
      <c r="H269" s="49"/>
      <c r="I269" s="49"/>
      <c r="J269" s="49"/>
      <c r="K269" s="106"/>
      <c r="L269" s="34"/>
      <c r="M269" s="45"/>
      <c r="N269" s="34"/>
      <c r="O269" s="50"/>
    </row>
    <row r="270" ht="15.75" customHeight="1">
      <c r="A270" s="28"/>
      <c r="B270" s="28"/>
      <c r="C270" s="45"/>
      <c r="D270" s="50"/>
      <c r="E270" s="28"/>
      <c r="F270" s="28"/>
      <c r="G270" s="49"/>
      <c r="H270" s="49"/>
      <c r="I270" s="49"/>
      <c r="J270" s="49"/>
      <c r="K270" s="106"/>
      <c r="L270" s="34"/>
      <c r="M270" s="45"/>
      <c r="N270" s="34"/>
      <c r="O270" s="50"/>
    </row>
    <row r="271" ht="15.75" customHeight="1">
      <c r="A271" s="28"/>
      <c r="B271" s="28"/>
      <c r="C271" s="45"/>
      <c r="D271" s="50"/>
      <c r="E271" s="28"/>
      <c r="F271" s="28"/>
      <c r="G271" s="49"/>
      <c r="H271" s="49"/>
      <c r="I271" s="49"/>
      <c r="J271" s="49"/>
      <c r="K271" s="106"/>
      <c r="L271" s="34"/>
      <c r="M271" s="45"/>
      <c r="N271" s="34"/>
      <c r="O271" s="50"/>
    </row>
    <row r="272" ht="15.75" customHeight="1">
      <c r="A272" s="28"/>
      <c r="B272" s="28"/>
      <c r="C272" s="45"/>
      <c r="D272" s="50"/>
      <c r="E272" s="28"/>
      <c r="F272" s="28"/>
      <c r="G272" s="49"/>
      <c r="H272" s="49"/>
      <c r="I272" s="49"/>
      <c r="J272" s="49"/>
      <c r="K272" s="106"/>
      <c r="L272" s="34"/>
      <c r="M272" s="45"/>
      <c r="N272" s="34"/>
      <c r="O272" s="50"/>
    </row>
    <row r="273" ht="15.75" customHeight="1">
      <c r="A273" s="28"/>
      <c r="B273" s="28"/>
      <c r="C273" s="45"/>
      <c r="D273" s="50"/>
      <c r="E273" s="28"/>
      <c r="F273" s="28"/>
      <c r="G273" s="49"/>
      <c r="H273" s="49"/>
      <c r="I273" s="49"/>
      <c r="J273" s="49"/>
      <c r="K273" s="106"/>
      <c r="L273" s="34"/>
      <c r="M273" s="45"/>
      <c r="N273" s="34"/>
      <c r="O273" s="50"/>
    </row>
    <row r="274" ht="15.75" customHeight="1">
      <c r="A274" s="28"/>
      <c r="B274" s="28"/>
      <c r="C274" s="45"/>
      <c r="D274" s="50"/>
      <c r="E274" s="28"/>
      <c r="F274" s="28"/>
      <c r="G274" s="49"/>
      <c r="H274" s="49"/>
      <c r="I274" s="49"/>
      <c r="J274" s="49"/>
      <c r="K274" s="106"/>
      <c r="L274" s="34"/>
      <c r="M274" s="45"/>
      <c r="N274" s="34"/>
      <c r="O274" s="50"/>
    </row>
    <row r="275" ht="15.75" customHeight="1">
      <c r="A275" s="28"/>
      <c r="B275" s="28"/>
      <c r="C275" s="45"/>
      <c r="D275" s="50"/>
      <c r="E275" s="28"/>
      <c r="F275" s="28"/>
      <c r="G275" s="49"/>
      <c r="H275" s="49"/>
      <c r="I275" s="49"/>
      <c r="J275" s="49"/>
      <c r="K275" s="106"/>
      <c r="L275" s="34"/>
      <c r="M275" s="45"/>
      <c r="N275" s="34"/>
      <c r="O275" s="50"/>
    </row>
    <row r="276" ht="15.75" customHeight="1">
      <c r="A276" s="28"/>
      <c r="B276" s="28"/>
      <c r="C276" s="45"/>
      <c r="D276" s="50"/>
      <c r="E276" s="28"/>
      <c r="F276" s="28"/>
      <c r="G276" s="49"/>
      <c r="H276" s="49"/>
      <c r="I276" s="49"/>
      <c r="J276" s="49"/>
      <c r="K276" s="106"/>
      <c r="L276" s="34"/>
      <c r="M276" s="45"/>
      <c r="N276" s="34"/>
      <c r="O276" s="50"/>
    </row>
    <row r="277" ht="15.75" customHeight="1">
      <c r="A277" s="28"/>
      <c r="B277" s="28"/>
      <c r="C277" s="45"/>
      <c r="D277" s="50"/>
      <c r="E277" s="28"/>
      <c r="F277" s="28"/>
      <c r="G277" s="49"/>
      <c r="H277" s="49"/>
      <c r="I277" s="49"/>
      <c r="J277" s="49"/>
      <c r="K277" s="106"/>
      <c r="L277" s="34"/>
      <c r="M277" s="45"/>
      <c r="N277" s="34"/>
      <c r="O277" s="50"/>
    </row>
    <row r="278" ht="15.75" customHeight="1">
      <c r="A278" s="28"/>
      <c r="B278" s="28"/>
      <c r="C278" s="45"/>
      <c r="D278" s="50"/>
      <c r="E278" s="28"/>
      <c r="F278" s="28"/>
      <c r="G278" s="49"/>
      <c r="H278" s="49"/>
      <c r="I278" s="49"/>
      <c r="J278" s="49"/>
      <c r="K278" s="106"/>
      <c r="L278" s="34"/>
      <c r="M278" s="45"/>
      <c r="N278" s="34"/>
      <c r="O278" s="50"/>
    </row>
    <row r="279" ht="15.75" customHeight="1">
      <c r="A279" s="28"/>
      <c r="B279" s="28"/>
      <c r="C279" s="45"/>
      <c r="D279" s="50"/>
      <c r="E279" s="28"/>
      <c r="F279" s="28"/>
      <c r="G279" s="49"/>
      <c r="H279" s="49"/>
      <c r="I279" s="49"/>
      <c r="J279" s="49"/>
      <c r="K279" s="106"/>
      <c r="L279" s="34"/>
      <c r="M279" s="45"/>
      <c r="N279" s="34"/>
      <c r="O279" s="50"/>
    </row>
    <row r="280" ht="15.75" customHeight="1">
      <c r="A280" s="28"/>
      <c r="B280" s="28"/>
      <c r="C280" s="45"/>
      <c r="D280" s="50"/>
      <c r="E280" s="28"/>
      <c r="F280" s="28"/>
      <c r="G280" s="49"/>
      <c r="H280" s="49"/>
      <c r="I280" s="49"/>
      <c r="J280" s="49"/>
      <c r="K280" s="106"/>
      <c r="L280" s="34"/>
      <c r="M280" s="45"/>
      <c r="N280" s="34"/>
      <c r="O280" s="50"/>
    </row>
    <row r="281" ht="15.75" customHeight="1">
      <c r="A281" s="28"/>
      <c r="B281" s="28"/>
      <c r="C281" s="45"/>
      <c r="D281" s="50"/>
      <c r="E281" s="28"/>
      <c r="F281" s="28"/>
      <c r="G281" s="49"/>
      <c r="H281" s="49"/>
      <c r="I281" s="49"/>
      <c r="J281" s="49"/>
      <c r="K281" s="106"/>
      <c r="L281" s="34"/>
      <c r="M281" s="45"/>
      <c r="N281" s="34"/>
      <c r="O281" s="50"/>
    </row>
    <row r="282" ht="15.75" customHeight="1">
      <c r="A282" s="28"/>
      <c r="B282" s="28"/>
      <c r="C282" s="45"/>
      <c r="D282" s="50"/>
      <c r="E282" s="28"/>
      <c r="F282" s="28"/>
      <c r="G282" s="49"/>
      <c r="H282" s="49"/>
      <c r="I282" s="49"/>
      <c r="J282" s="49"/>
      <c r="K282" s="106"/>
      <c r="L282" s="34"/>
      <c r="M282" s="45"/>
      <c r="N282" s="34"/>
      <c r="O282" s="50"/>
    </row>
    <row r="283" ht="15.75" customHeight="1">
      <c r="A283" s="28"/>
      <c r="B283" s="28"/>
      <c r="C283" s="45"/>
      <c r="D283" s="50"/>
      <c r="E283" s="28"/>
      <c r="F283" s="28"/>
      <c r="G283" s="49"/>
      <c r="H283" s="49"/>
      <c r="I283" s="49"/>
      <c r="J283" s="49"/>
      <c r="K283" s="106"/>
      <c r="L283" s="34"/>
      <c r="M283" s="45"/>
      <c r="N283" s="34"/>
      <c r="O283" s="50"/>
    </row>
    <row r="284" ht="15.75" customHeight="1">
      <c r="A284" s="28"/>
      <c r="B284" s="28"/>
      <c r="C284" s="45"/>
      <c r="D284" s="50"/>
      <c r="E284" s="28"/>
      <c r="F284" s="28"/>
      <c r="G284" s="49"/>
      <c r="H284" s="49"/>
      <c r="I284" s="49"/>
      <c r="J284" s="49"/>
      <c r="K284" s="106"/>
      <c r="L284" s="34"/>
      <c r="M284" s="45"/>
      <c r="N284" s="34"/>
      <c r="O284" s="50"/>
    </row>
    <row r="285" ht="15.75" customHeight="1">
      <c r="A285" s="28"/>
      <c r="B285" s="28"/>
      <c r="C285" s="45"/>
      <c r="D285" s="50"/>
      <c r="E285" s="28"/>
      <c r="F285" s="28"/>
      <c r="G285" s="49"/>
      <c r="H285" s="49"/>
      <c r="I285" s="49"/>
      <c r="J285" s="49"/>
      <c r="K285" s="106"/>
      <c r="L285" s="34"/>
      <c r="M285" s="45"/>
      <c r="N285" s="34"/>
      <c r="O285" s="50"/>
    </row>
    <row r="286" ht="15.75" customHeight="1">
      <c r="A286" s="28"/>
      <c r="B286" s="28"/>
      <c r="C286" s="45"/>
      <c r="D286" s="50"/>
      <c r="E286" s="28"/>
      <c r="F286" s="28"/>
      <c r="G286" s="49"/>
      <c r="H286" s="49"/>
      <c r="I286" s="49"/>
      <c r="J286" s="49"/>
      <c r="K286" s="106"/>
      <c r="L286" s="34"/>
      <c r="M286" s="45"/>
      <c r="N286" s="34"/>
      <c r="O286" s="50"/>
    </row>
    <row r="287" ht="15.75" customHeight="1">
      <c r="A287" s="28"/>
      <c r="B287" s="28"/>
      <c r="C287" s="45"/>
      <c r="D287" s="50"/>
      <c r="E287" s="28"/>
      <c r="F287" s="28"/>
      <c r="G287" s="49"/>
      <c r="H287" s="49"/>
      <c r="I287" s="49"/>
      <c r="J287" s="49"/>
      <c r="K287" s="106"/>
      <c r="L287" s="34"/>
      <c r="M287" s="45"/>
      <c r="N287" s="34"/>
      <c r="O287" s="50"/>
    </row>
    <row r="288" ht="15.75" customHeight="1">
      <c r="A288" s="28"/>
      <c r="B288" s="28"/>
      <c r="C288" s="45"/>
      <c r="D288" s="50"/>
      <c r="E288" s="28"/>
      <c r="F288" s="28"/>
      <c r="G288" s="49"/>
      <c r="H288" s="49"/>
      <c r="I288" s="49"/>
      <c r="J288" s="49"/>
      <c r="K288" s="106"/>
      <c r="L288" s="34"/>
      <c r="M288" s="45"/>
      <c r="N288" s="34"/>
      <c r="O288" s="50"/>
    </row>
    <row r="289" ht="15.75" customHeight="1">
      <c r="A289" s="28"/>
      <c r="B289" s="28"/>
      <c r="C289" s="45"/>
      <c r="D289" s="50"/>
      <c r="E289" s="28"/>
      <c r="F289" s="28"/>
      <c r="G289" s="49"/>
      <c r="H289" s="49"/>
      <c r="I289" s="49"/>
      <c r="J289" s="49"/>
      <c r="K289" s="106"/>
      <c r="L289" s="34"/>
      <c r="M289" s="45"/>
      <c r="N289" s="34"/>
      <c r="O289" s="50"/>
    </row>
    <row r="290" ht="15.75" customHeight="1">
      <c r="A290" s="28"/>
      <c r="B290" s="28"/>
      <c r="C290" s="45"/>
      <c r="D290" s="50"/>
      <c r="E290" s="28"/>
      <c r="F290" s="28"/>
      <c r="G290" s="49"/>
      <c r="H290" s="49"/>
      <c r="I290" s="49"/>
      <c r="J290" s="49"/>
      <c r="K290" s="106"/>
      <c r="L290" s="34"/>
      <c r="M290" s="45"/>
      <c r="N290" s="34"/>
      <c r="O290" s="50"/>
    </row>
    <row r="291" ht="15.75" customHeight="1">
      <c r="A291" s="28"/>
      <c r="B291" s="28"/>
      <c r="C291" s="45"/>
      <c r="D291" s="50"/>
      <c r="E291" s="28"/>
      <c r="F291" s="28"/>
      <c r="G291" s="49"/>
      <c r="H291" s="49"/>
      <c r="I291" s="49"/>
      <c r="J291" s="49"/>
      <c r="K291" s="106"/>
      <c r="L291" s="34"/>
      <c r="M291" s="45"/>
      <c r="N291" s="34"/>
      <c r="O291" s="50"/>
    </row>
    <row r="292" ht="15.75" customHeight="1">
      <c r="A292" s="28"/>
      <c r="B292" s="28"/>
      <c r="C292" s="45"/>
      <c r="D292" s="50"/>
      <c r="E292" s="28"/>
      <c r="F292" s="28"/>
      <c r="G292" s="49"/>
      <c r="H292" s="49"/>
      <c r="I292" s="49"/>
      <c r="J292" s="49"/>
      <c r="K292" s="106"/>
      <c r="L292" s="34"/>
      <c r="M292" s="45"/>
      <c r="N292" s="34"/>
      <c r="O292" s="50"/>
    </row>
    <row r="293" ht="15.75" customHeight="1">
      <c r="A293" s="28"/>
      <c r="B293" s="28"/>
      <c r="C293" s="45"/>
      <c r="D293" s="50"/>
      <c r="E293" s="28"/>
      <c r="F293" s="28"/>
      <c r="G293" s="49"/>
      <c r="H293" s="49"/>
      <c r="I293" s="49"/>
      <c r="J293" s="49"/>
      <c r="K293" s="106"/>
      <c r="L293" s="34"/>
      <c r="M293" s="45"/>
      <c r="N293" s="34"/>
      <c r="O293" s="50"/>
    </row>
    <row r="294" ht="15.75" customHeight="1">
      <c r="A294" s="28"/>
      <c r="B294" s="28"/>
      <c r="C294" s="45"/>
      <c r="D294" s="50"/>
      <c r="E294" s="28"/>
      <c r="F294" s="28"/>
      <c r="G294" s="49"/>
      <c r="H294" s="49"/>
      <c r="I294" s="49"/>
      <c r="J294" s="49"/>
      <c r="K294" s="106"/>
      <c r="L294" s="34"/>
      <c r="M294" s="45"/>
      <c r="N294" s="34"/>
      <c r="O294" s="50"/>
    </row>
    <row r="295" ht="15.75" customHeight="1">
      <c r="A295" s="28"/>
      <c r="B295" s="28"/>
      <c r="C295" s="45"/>
      <c r="D295" s="50"/>
      <c r="E295" s="28"/>
      <c r="F295" s="28"/>
      <c r="G295" s="49"/>
      <c r="H295" s="49"/>
      <c r="I295" s="49"/>
      <c r="J295" s="49"/>
      <c r="K295" s="106"/>
      <c r="L295" s="34"/>
      <c r="M295" s="45"/>
      <c r="N295" s="34"/>
      <c r="O295" s="50"/>
    </row>
    <row r="296" ht="15.75" customHeight="1">
      <c r="A296" s="28"/>
      <c r="B296" s="28"/>
      <c r="C296" s="45"/>
      <c r="D296" s="50"/>
      <c r="E296" s="28"/>
      <c r="F296" s="28"/>
      <c r="G296" s="49"/>
      <c r="H296" s="49"/>
      <c r="I296" s="49"/>
      <c r="J296" s="49"/>
      <c r="K296" s="106"/>
      <c r="L296" s="34"/>
      <c r="M296" s="45"/>
      <c r="N296" s="34"/>
      <c r="O296" s="50"/>
    </row>
    <row r="297" ht="15.75" customHeight="1">
      <c r="A297" s="28"/>
      <c r="B297" s="28"/>
      <c r="C297" s="45"/>
      <c r="D297" s="50"/>
      <c r="E297" s="28"/>
      <c r="F297" s="28"/>
      <c r="G297" s="49"/>
      <c r="H297" s="49"/>
      <c r="I297" s="49"/>
      <c r="J297" s="49"/>
      <c r="K297" s="106"/>
      <c r="L297" s="34"/>
      <c r="M297" s="45"/>
      <c r="N297" s="34"/>
      <c r="O297" s="50"/>
    </row>
    <row r="298" ht="15.75" customHeight="1">
      <c r="A298" s="28"/>
      <c r="B298" s="28"/>
      <c r="C298" s="45"/>
      <c r="D298" s="50"/>
      <c r="E298" s="28"/>
      <c r="F298" s="28"/>
      <c r="G298" s="49"/>
      <c r="H298" s="49"/>
      <c r="I298" s="49"/>
      <c r="J298" s="49"/>
      <c r="K298" s="106"/>
      <c r="L298" s="34"/>
      <c r="M298" s="45"/>
      <c r="N298" s="34"/>
      <c r="O298" s="50"/>
    </row>
    <row r="299" ht="15.75" customHeight="1">
      <c r="A299" s="28"/>
      <c r="B299" s="28"/>
      <c r="C299" s="45"/>
      <c r="D299" s="50"/>
      <c r="E299" s="28"/>
      <c r="F299" s="28"/>
      <c r="G299" s="49"/>
      <c r="H299" s="49"/>
      <c r="I299" s="49"/>
      <c r="J299" s="49"/>
      <c r="K299" s="106"/>
      <c r="L299" s="34"/>
      <c r="M299" s="45"/>
      <c r="N299" s="34"/>
      <c r="O299" s="50"/>
    </row>
    <row r="300" ht="15.75" customHeight="1">
      <c r="A300" s="28"/>
      <c r="B300" s="28"/>
      <c r="C300" s="45"/>
      <c r="D300" s="50"/>
      <c r="E300" s="28"/>
      <c r="F300" s="28"/>
      <c r="G300" s="49"/>
      <c r="H300" s="49"/>
      <c r="I300" s="49"/>
      <c r="J300" s="49"/>
      <c r="K300" s="106"/>
      <c r="L300" s="34"/>
      <c r="M300" s="45"/>
      <c r="N300" s="34"/>
      <c r="O300" s="50"/>
    </row>
    <row r="301" ht="15.75" customHeight="1">
      <c r="A301" s="28"/>
      <c r="B301" s="28"/>
      <c r="C301" s="45"/>
      <c r="D301" s="50"/>
      <c r="E301" s="28"/>
      <c r="F301" s="28"/>
      <c r="G301" s="49"/>
      <c r="H301" s="49"/>
      <c r="I301" s="49"/>
      <c r="J301" s="49"/>
      <c r="K301" s="106"/>
      <c r="L301" s="34"/>
      <c r="M301" s="45"/>
      <c r="N301" s="34"/>
      <c r="O301" s="50"/>
    </row>
    <row r="302" ht="15.75" customHeight="1">
      <c r="A302" s="28"/>
      <c r="B302" s="28"/>
      <c r="C302" s="45"/>
      <c r="D302" s="50"/>
      <c r="E302" s="28"/>
      <c r="F302" s="28"/>
      <c r="G302" s="49"/>
      <c r="H302" s="49"/>
      <c r="I302" s="49"/>
      <c r="J302" s="49"/>
      <c r="K302" s="106"/>
      <c r="L302" s="34"/>
      <c r="M302" s="45"/>
      <c r="N302" s="34"/>
      <c r="O302" s="50"/>
    </row>
    <row r="303" ht="15.75" customHeight="1">
      <c r="A303" s="28"/>
      <c r="B303" s="28"/>
      <c r="C303" s="45"/>
      <c r="D303" s="50"/>
      <c r="E303" s="28"/>
      <c r="F303" s="28"/>
      <c r="G303" s="49"/>
      <c r="H303" s="49"/>
      <c r="I303" s="49"/>
      <c r="J303" s="49"/>
      <c r="K303" s="106"/>
      <c r="L303" s="34"/>
      <c r="M303" s="45"/>
      <c r="N303" s="34"/>
      <c r="O303" s="50"/>
    </row>
    <row r="304" ht="15.75" customHeight="1">
      <c r="A304" s="28"/>
      <c r="B304" s="28"/>
      <c r="C304" s="45"/>
      <c r="D304" s="50"/>
      <c r="E304" s="28"/>
      <c r="F304" s="28"/>
      <c r="G304" s="49"/>
      <c r="H304" s="49"/>
      <c r="I304" s="49"/>
      <c r="J304" s="49"/>
      <c r="K304" s="106"/>
      <c r="L304" s="34"/>
      <c r="M304" s="45"/>
      <c r="N304" s="34"/>
      <c r="O304" s="50"/>
    </row>
    <row r="305" ht="15.75" customHeight="1">
      <c r="A305" s="28"/>
      <c r="B305" s="28"/>
      <c r="C305" s="45"/>
      <c r="D305" s="50"/>
      <c r="E305" s="28"/>
      <c r="F305" s="28"/>
      <c r="G305" s="49"/>
      <c r="H305" s="49"/>
      <c r="I305" s="49"/>
      <c r="J305" s="49"/>
      <c r="K305" s="106"/>
      <c r="L305" s="34"/>
      <c r="M305" s="45"/>
      <c r="N305" s="34"/>
      <c r="O305" s="50"/>
    </row>
    <row r="306" ht="15.75" customHeight="1">
      <c r="A306" s="28"/>
      <c r="B306" s="28"/>
      <c r="C306" s="45"/>
      <c r="D306" s="50"/>
      <c r="E306" s="28"/>
      <c r="F306" s="28"/>
      <c r="G306" s="49"/>
      <c r="H306" s="49"/>
      <c r="I306" s="49"/>
      <c r="J306" s="49"/>
      <c r="K306" s="106"/>
      <c r="L306" s="34"/>
      <c r="M306" s="45"/>
      <c r="N306" s="34"/>
      <c r="O306" s="50"/>
    </row>
    <row r="307" ht="15.75" customHeight="1">
      <c r="A307" s="28"/>
      <c r="B307" s="28"/>
      <c r="C307" s="45"/>
      <c r="D307" s="50"/>
      <c r="E307" s="28"/>
      <c r="F307" s="28"/>
      <c r="G307" s="49"/>
      <c r="H307" s="49"/>
      <c r="I307" s="49"/>
      <c r="J307" s="49"/>
      <c r="K307" s="106"/>
      <c r="L307" s="34"/>
      <c r="M307" s="45"/>
      <c r="N307" s="34"/>
      <c r="O307" s="50"/>
    </row>
    <row r="308" ht="15.75" customHeight="1">
      <c r="A308" s="28"/>
      <c r="B308" s="28"/>
      <c r="C308" s="45"/>
      <c r="D308" s="50"/>
      <c r="E308" s="28"/>
      <c r="F308" s="28"/>
      <c r="G308" s="49"/>
      <c r="H308" s="49"/>
      <c r="I308" s="49"/>
      <c r="J308" s="49"/>
      <c r="K308" s="106"/>
      <c r="L308" s="34"/>
      <c r="M308" s="45"/>
      <c r="N308" s="34"/>
      <c r="O308" s="50"/>
    </row>
    <row r="309" ht="15.75" customHeight="1">
      <c r="A309" s="28"/>
      <c r="B309" s="28"/>
      <c r="C309" s="45"/>
      <c r="D309" s="50"/>
      <c r="E309" s="28"/>
      <c r="F309" s="28"/>
      <c r="G309" s="49"/>
      <c r="H309" s="49"/>
      <c r="I309" s="49"/>
      <c r="J309" s="49"/>
      <c r="K309" s="106"/>
      <c r="L309" s="34"/>
      <c r="M309" s="45"/>
      <c r="N309" s="34"/>
      <c r="O309" s="50"/>
    </row>
    <row r="310" ht="15.75" customHeight="1">
      <c r="A310" s="28"/>
      <c r="B310" s="28"/>
      <c r="C310" s="45"/>
      <c r="D310" s="50"/>
      <c r="E310" s="28"/>
      <c r="F310" s="28"/>
      <c r="G310" s="49"/>
      <c r="H310" s="49"/>
      <c r="I310" s="49"/>
      <c r="J310" s="49"/>
      <c r="K310" s="106"/>
      <c r="L310" s="34"/>
      <c r="M310" s="45"/>
      <c r="N310" s="34"/>
      <c r="O310" s="50"/>
    </row>
    <row r="311" ht="15.75" customHeight="1">
      <c r="A311" s="28"/>
      <c r="B311" s="28"/>
      <c r="C311" s="45"/>
      <c r="D311" s="50"/>
      <c r="E311" s="28"/>
      <c r="F311" s="28"/>
      <c r="G311" s="49"/>
      <c r="H311" s="49"/>
      <c r="I311" s="49"/>
      <c r="J311" s="49"/>
      <c r="K311" s="106"/>
      <c r="L311" s="34"/>
      <c r="M311" s="45"/>
      <c r="N311" s="34"/>
      <c r="O311" s="50"/>
    </row>
    <row r="312" ht="15.75" customHeight="1">
      <c r="A312" s="28"/>
      <c r="B312" s="28"/>
      <c r="C312" s="45"/>
      <c r="D312" s="50"/>
      <c r="E312" s="28"/>
      <c r="F312" s="28"/>
      <c r="G312" s="49"/>
      <c r="H312" s="49"/>
      <c r="I312" s="49"/>
      <c r="J312" s="49"/>
      <c r="K312" s="106"/>
      <c r="L312" s="34"/>
      <c r="M312" s="45"/>
      <c r="N312" s="34"/>
      <c r="O312" s="50"/>
    </row>
    <row r="313" ht="15.75" customHeight="1">
      <c r="A313" s="28"/>
      <c r="B313" s="28"/>
      <c r="C313" s="45"/>
      <c r="D313" s="50"/>
      <c r="E313" s="28"/>
      <c r="F313" s="28"/>
      <c r="G313" s="49"/>
      <c r="H313" s="49"/>
      <c r="I313" s="49"/>
      <c r="J313" s="49"/>
      <c r="K313" s="106"/>
      <c r="L313" s="34"/>
      <c r="M313" s="45"/>
      <c r="N313" s="34"/>
      <c r="O313" s="50"/>
    </row>
    <row r="314" ht="15.75" customHeight="1">
      <c r="A314" s="28"/>
      <c r="B314" s="28"/>
      <c r="C314" s="45"/>
      <c r="D314" s="50"/>
      <c r="E314" s="28"/>
      <c r="F314" s="28"/>
      <c r="G314" s="49"/>
      <c r="H314" s="49"/>
      <c r="I314" s="49"/>
      <c r="J314" s="49"/>
      <c r="K314" s="106"/>
      <c r="L314" s="34"/>
      <c r="M314" s="45"/>
      <c r="N314" s="34"/>
      <c r="O314" s="50"/>
    </row>
    <row r="315" ht="15.75" customHeight="1">
      <c r="A315" s="28"/>
      <c r="B315" s="28"/>
      <c r="C315" s="45"/>
      <c r="D315" s="50"/>
      <c r="E315" s="28"/>
      <c r="F315" s="28"/>
      <c r="G315" s="49"/>
      <c r="H315" s="49"/>
      <c r="I315" s="49"/>
      <c r="J315" s="49"/>
      <c r="K315" s="106"/>
      <c r="L315" s="34"/>
      <c r="M315" s="45"/>
      <c r="N315" s="34"/>
      <c r="O315" s="50"/>
    </row>
    <row r="316" ht="15.75" customHeight="1">
      <c r="A316" s="28"/>
      <c r="B316" s="28"/>
      <c r="C316" s="45"/>
      <c r="D316" s="50"/>
      <c r="E316" s="28"/>
      <c r="F316" s="28"/>
      <c r="G316" s="49"/>
      <c r="H316" s="49"/>
      <c r="I316" s="49"/>
      <c r="J316" s="49"/>
      <c r="K316" s="106"/>
      <c r="L316" s="34"/>
      <c r="M316" s="45"/>
      <c r="N316" s="34"/>
      <c r="O316" s="50"/>
    </row>
    <row r="317" ht="15.75" customHeight="1">
      <c r="A317" s="28"/>
      <c r="B317" s="28"/>
      <c r="C317" s="45"/>
      <c r="D317" s="50"/>
      <c r="E317" s="28"/>
      <c r="F317" s="28"/>
      <c r="G317" s="49"/>
      <c r="H317" s="49"/>
      <c r="I317" s="49"/>
      <c r="J317" s="49"/>
      <c r="K317" s="106"/>
      <c r="L317" s="34"/>
      <c r="M317" s="45"/>
      <c r="N317" s="34"/>
      <c r="O317" s="50"/>
    </row>
    <row r="318" ht="15.75" customHeight="1">
      <c r="A318" s="28"/>
      <c r="B318" s="28"/>
      <c r="C318" s="45"/>
      <c r="D318" s="50"/>
      <c r="E318" s="28"/>
      <c r="F318" s="28"/>
      <c r="G318" s="49"/>
      <c r="H318" s="49"/>
      <c r="I318" s="49"/>
      <c r="J318" s="49"/>
      <c r="K318" s="106"/>
      <c r="L318" s="34"/>
      <c r="M318" s="45"/>
      <c r="N318" s="34"/>
      <c r="O318" s="50"/>
    </row>
    <row r="319" ht="15.75" customHeight="1">
      <c r="A319" s="28"/>
      <c r="B319" s="28"/>
      <c r="C319" s="45"/>
      <c r="D319" s="50"/>
      <c r="E319" s="28"/>
      <c r="F319" s="28"/>
      <c r="G319" s="49"/>
      <c r="H319" s="49"/>
      <c r="I319" s="49"/>
      <c r="J319" s="49"/>
      <c r="K319" s="106"/>
      <c r="L319" s="34"/>
      <c r="M319" s="45"/>
      <c r="N319" s="34"/>
      <c r="O319" s="50"/>
    </row>
    <row r="320" ht="15.75" customHeight="1">
      <c r="A320" s="28"/>
      <c r="B320" s="28"/>
      <c r="C320" s="45"/>
      <c r="D320" s="50"/>
      <c r="E320" s="28"/>
      <c r="F320" s="28"/>
      <c r="G320" s="49"/>
      <c r="H320" s="49"/>
      <c r="I320" s="49"/>
      <c r="J320" s="49"/>
      <c r="K320" s="106"/>
      <c r="L320" s="34"/>
      <c r="M320" s="45"/>
      <c r="N320" s="34"/>
      <c r="O320" s="50"/>
    </row>
    <row r="321" ht="15.75" customHeight="1">
      <c r="A321" s="28"/>
      <c r="B321" s="28"/>
      <c r="C321" s="45"/>
      <c r="D321" s="50"/>
      <c r="E321" s="28"/>
      <c r="F321" s="28"/>
      <c r="G321" s="49"/>
      <c r="H321" s="49"/>
      <c r="I321" s="49"/>
      <c r="J321" s="49"/>
      <c r="K321" s="106"/>
      <c r="L321" s="34"/>
      <c r="M321" s="45"/>
      <c r="N321" s="34"/>
      <c r="O321" s="50"/>
    </row>
    <row r="322" ht="15.75" customHeight="1">
      <c r="A322" s="28"/>
      <c r="B322" s="28"/>
      <c r="C322" s="45"/>
      <c r="D322" s="50"/>
      <c r="E322" s="28"/>
      <c r="F322" s="28"/>
      <c r="G322" s="49"/>
      <c r="H322" s="49"/>
      <c r="I322" s="49"/>
      <c r="J322" s="49"/>
      <c r="K322" s="106"/>
      <c r="L322" s="34"/>
      <c r="M322" s="45"/>
      <c r="N322" s="34"/>
      <c r="O322" s="50"/>
    </row>
    <row r="323" ht="15.75" customHeight="1">
      <c r="A323" s="28"/>
      <c r="B323" s="28"/>
      <c r="C323" s="45"/>
      <c r="D323" s="50"/>
      <c r="E323" s="28"/>
      <c r="F323" s="28"/>
      <c r="G323" s="49"/>
      <c r="H323" s="49"/>
      <c r="I323" s="49"/>
      <c r="J323" s="49"/>
      <c r="K323" s="106"/>
      <c r="L323" s="34"/>
      <c r="M323" s="45"/>
      <c r="N323" s="34"/>
      <c r="O323" s="50"/>
    </row>
    <row r="324" ht="15.75" customHeight="1">
      <c r="A324" s="28"/>
      <c r="B324" s="28"/>
      <c r="C324" s="45"/>
      <c r="D324" s="50"/>
      <c r="E324" s="28"/>
      <c r="F324" s="28"/>
      <c r="G324" s="49"/>
      <c r="H324" s="49"/>
      <c r="I324" s="49"/>
      <c r="J324" s="49"/>
      <c r="K324" s="106"/>
      <c r="L324" s="34"/>
      <c r="M324" s="45"/>
      <c r="N324" s="34"/>
      <c r="O324" s="50"/>
    </row>
    <row r="325" ht="15.75" customHeight="1">
      <c r="A325" s="28"/>
      <c r="B325" s="28"/>
      <c r="C325" s="45"/>
      <c r="D325" s="50"/>
      <c r="E325" s="28"/>
      <c r="F325" s="28"/>
      <c r="G325" s="49"/>
      <c r="H325" s="49"/>
      <c r="I325" s="49"/>
      <c r="J325" s="49"/>
      <c r="K325" s="106"/>
      <c r="L325" s="34"/>
      <c r="M325" s="45"/>
      <c r="N325" s="34"/>
      <c r="O325" s="50"/>
    </row>
    <row r="326" ht="15.75" customHeight="1">
      <c r="A326" s="28"/>
      <c r="B326" s="28"/>
      <c r="C326" s="45"/>
      <c r="D326" s="50"/>
      <c r="E326" s="28"/>
      <c r="F326" s="28"/>
      <c r="G326" s="49"/>
      <c r="H326" s="49"/>
      <c r="I326" s="49"/>
      <c r="J326" s="49"/>
      <c r="K326" s="106"/>
      <c r="L326" s="34"/>
      <c r="M326" s="45"/>
      <c r="N326" s="34"/>
      <c r="O326" s="50"/>
    </row>
    <row r="327" ht="15.75" customHeight="1">
      <c r="A327" s="28"/>
      <c r="B327" s="28"/>
      <c r="C327" s="45"/>
      <c r="D327" s="50"/>
      <c r="E327" s="28"/>
      <c r="F327" s="28"/>
      <c r="G327" s="49"/>
      <c r="H327" s="49"/>
      <c r="I327" s="49"/>
      <c r="J327" s="49"/>
      <c r="K327" s="106"/>
      <c r="L327" s="34"/>
      <c r="M327" s="45"/>
      <c r="N327" s="34"/>
      <c r="O327" s="50"/>
    </row>
    <row r="328" ht="15.75" customHeight="1">
      <c r="A328" s="28"/>
      <c r="B328" s="28"/>
      <c r="C328" s="45"/>
      <c r="D328" s="50"/>
      <c r="E328" s="28"/>
      <c r="F328" s="28"/>
      <c r="G328" s="49"/>
      <c r="H328" s="49"/>
      <c r="I328" s="49"/>
      <c r="J328" s="49"/>
      <c r="K328" s="106"/>
      <c r="L328" s="34"/>
      <c r="M328" s="45"/>
      <c r="N328" s="34"/>
      <c r="O328" s="50"/>
    </row>
    <row r="329" ht="15.75" customHeight="1">
      <c r="A329" s="28"/>
      <c r="B329" s="28"/>
      <c r="C329" s="45"/>
      <c r="D329" s="50"/>
      <c r="E329" s="28"/>
      <c r="F329" s="28"/>
      <c r="G329" s="49"/>
      <c r="H329" s="49"/>
      <c r="I329" s="49"/>
      <c r="J329" s="49"/>
      <c r="K329" s="106"/>
      <c r="L329" s="34"/>
      <c r="M329" s="45"/>
      <c r="N329" s="34"/>
      <c r="O329" s="50"/>
    </row>
    <row r="330" ht="15.75" customHeight="1">
      <c r="A330" s="28"/>
      <c r="B330" s="28"/>
      <c r="C330" s="45"/>
      <c r="D330" s="50"/>
      <c r="E330" s="28"/>
      <c r="F330" s="28"/>
      <c r="G330" s="49"/>
      <c r="H330" s="49"/>
      <c r="I330" s="49"/>
      <c r="J330" s="49"/>
      <c r="K330" s="106"/>
      <c r="L330" s="34"/>
      <c r="M330" s="45"/>
      <c r="N330" s="34"/>
      <c r="O330" s="50"/>
    </row>
    <row r="331" ht="15.75" customHeight="1">
      <c r="A331" s="28"/>
      <c r="B331" s="28"/>
      <c r="C331" s="45"/>
      <c r="D331" s="50"/>
      <c r="E331" s="28"/>
      <c r="F331" s="28"/>
      <c r="G331" s="49"/>
      <c r="H331" s="49"/>
      <c r="I331" s="49"/>
      <c r="J331" s="49"/>
      <c r="K331" s="106"/>
      <c r="L331" s="34"/>
      <c r="M331" s="45"/>
      <c r="N331" s="34"/>
      <c r="O331" s="50"/>
    </row>
    <row r="332" ht="15.75" customHeight="1">
      <c r="A332" s="28"/>
      <c r="B332" s="28"/>
      <c r="C332" s="45"/>
      <c r="D332" s="50"/>
      <c r="E332" s="28"/>
      <c r="F332" s="28"/>
      <c r="G332" s="49"/>
      <c r="H332" s="49"/>
      <c r="I332" s="49"/>
      <c r="J332" s="49"/>
      <c r="K332" s="106"/>
      <c r="L332" s="34"/>
      <c r="M332" s="45"/>
      <c r="N332" s="34"/>
      <c r="O332" s="50"/>
    </row>
    <row r="333" ht="15.75" customHeight="1">
      <c r="A333" s="28"/>
      <c r="B333" s="28"/>
      <c r="C333" s="45"/>
      <c r="D333" s="50"/>
      <c r="E333" s="28"/>
      <c r="F333" s="28"/>
      <c r="G333" s="49"/>
      <c r="H333" s="49"/>
      <c r="I333" s="49"/>
      <c r="J333" s="49"/>
      <c r="K333" s="106"/>
      <c r="L333" s="34"/>
      <c r="M333" s="45"/>
      <c r="N333" s="34"/>
      <c r="O333" s="50"/>
    </row>
    <row r="334" ht="15.75" customHeight="1">
      <c r="A334" s="28"/>
      <c r="B334" s="28"/>
      <c r="C334" s="45"/>
      <c r="D334" s="50"/>
      <c r="E334" s="28"/>
      <c r="F334" s="28"/>
      <c r="G334" s="49"/>
      <c r="H334" s="49"/>
      <c r="I334" s="49"/>
      <c r="J334" s="49"/>
      <c r="K334" s="106"/>
      <c r="L334" s="34"/>
      <c r="M334" s="45"/>
      <c r="N334" s="34"/>
      <c r="O334" s="50"/>
    </row>
    <row r="335" ht="15.75" customHeight="1">
      <c r="A335" s="28"/>
      <c r="B335" s="28"/>
      <c r="C335" s="45"/>
      <c r="D335" s="50"/>
      <c r="E335" s="28"/>
      <c r="F335" s="28"/>
      <c r="G335" s="49"/>
      <c r="H335" s="49"/>
      <c r="I335" s="49"/>
      <c r="J335" s="49"/>
      <c r="K335" s="106"/>
      <c r="L335" s="34"/>
      <c r="M335" s="45"/>
      <c r="N335" s="34"/>
      <c r="O335" s="50"/>
    </row>
    <row r="336" ht="15.75" customHeight="1">
      <c r="A336" s="28"/>
      <c r="B336" s="28"/>
      <c r="C336" s="45"/>
      <c r="D336" s="50"/>
      <c r="E336" s="28"/>
      <c r="F336" s="28"/>
      <c r="G336" s="49"/>
      <c r="H336" s="49"/>
      <c r="I336" s="49"/>
      <c r="J336" s="49"/>
      <c r="K336" s="106"/>
      <c r="L336" s="34"/>
      <c r="M336" s="45"/>
      <c r="N336" s="34"/>
      <c r="O336" s="50"/>
    </row>
    <row r="337" ht="15.75" customHeight="1">
      <c r="A337" s="28"/>
      <c r="B337" s="28"/>
      <c r="C337" s="45"/>
      <c r="D337" s="50"/>
      <c r="E337" s="28"/>
      <c r="F337" s="28"/>
      <c r="G337" s="49"/>
      <c r="H337" s="49"/>
      <c r="I337" s="49"/>
      <c r="J337" s="49"/>
      <c r="K337" s="106"/>
      <c r="L337" s="34"/>
      <c r="M337" s="45"/>
      <c r="N337" s="34"/>
      <c r="O337" s="50"/>
    </row>
    <row r="338" ht="15.75" customHeight="1">
      <c r="A338" s="28"/>
      <c r="B338" s="28"/>
      <c r="C338" s="45"/>
      <c r="D338" s="50"/>
      <c r="E338" s="28"/>
      <c r="F338" s="28"/>
      <c r="G338" s="49"/>
      <c r="H338" s="49"/>
      <c r="I338" s="49"/>
      <c r="J338" s="49"/>
      <c r="K338" s="106"/>
      <c r="L338" s="34"/>
      <c r="M338" s="45"/>
      <c r="N338" s="34"/>
      <c r="O338" s="50"/>
    </row>
    <row r="339" ht="15.75" customHeight="1">
      <c r="A339" s="28"/>
      <c r="B339" s="28"/>
      <c r="C339" s="45"/>
      <c r="D339" s="50"/>
      <c r="E339" s="28"/>
      <c r="F339" s="28"/>
      <c r="G339" s="49"/>
      <c r="H339" s="49"/>
      <c r="I339" s="49"/>
      <c r="J339" s="49"/>
      <c r="K339" s="106"/>
      <c r="L339" s="34"/>
      <c r="M339" s="45"/>
      <c r="N339" s="34"/>
      <c r="O339" s="50"/>
    </row>
    <row r="340" ht="15.75" customHeight="1">
      <c r="A340" s="28"/>
      <c r="B340" s="28"/>
      <c r="C340" s="45"/>
      <c r="D340" s="50"/>
      <c r="E340" s="28"/>
      <c r="F340" s="28"/>
      <c r="G340" s="49"/>
      <c r="H340" s="49"/>
      <c r="I340" s="49"/>
      <c r="J340" s="49"/>
      <c r="K340" s="106"/>
      <c r="L340" s="34"/>
      <c r="M340" s="45"/>
      <c r="N340" s="34"/>
      <c r="O340" s="50"/>
    </row>
    <row r="341" ht="15.75" customHeight="1">
      <c r="A341" s="28"/>
      <c r="B341" s="28"/>
      <c r="C341" s="45"/>
      <c r="D341" s="50"/>
      <c r="E341" s="28"/>
      <c r="F341" s="28"/>
      <c r="G341" s="49"/>
      <c r="H341" s="49"/>
      <c r="I341" s="49"/>
      <c r="J341" s="49"/>
      <c r="K341" s="106"/>
      <c r="L341" s="34"/>
      <c r="M341" s="45"/>
      <c r="N341" s="34"/>
      <c r="O341" s="50"/>
    </row>
    <row r="342" ht="15.75" customHeight="1">
      <c r="A342" s="28"/>
      <c r="B342" s="28"/>
      <c r="C342" s="45"/>
      <c r="D342" s="50"/>
      <c r="E342" s="28"/>
      <c r="F342" s="28"/>
      <c r="G342" s="49"/>
      <c r="H342" s="49"/>
      <c r="I342" s="49"/>
      <c r="J342" s="49"/>
      <c r="K342" s="106"/>
      <c r="L342" s="34"/>
      <c r="M342" s="45"/>
      <c r="N342" s="34"/>
      <c r="O342" s="50"/>
    </row>
    <row r="343" ht="15.75" customHeight="1">
      <c r="A343" s="28"/>
      <c r="B343" s="28"/>
      <c r="C343" s="45"/>
      <c r="D343" s="50"/>
      <c r="E343" s="28"/>
      <c r="F343" s="28"/>
      <c r="G343" s="49"/>
      <c r="H343" s="49"/>
      <c r="I343" s="49"/>
      <c r="J343" s="49"/>
      <c r="K343" s="106"/>
      <c r="L343" s="34"/>
      <c r="M343" s="45"/>
      <c r="N343" s="34"/>
      <c r="O343" s="50"/>
    </row>
    <row r="344" ht="15.75" customHeight="1">
      <c r="A344" s="28"/>
      <c r="B344" s="28"/>
      <c r="C344" s="45"/>
      <c r="D344" s="50"/>
      <c r="E344" s="28"/>
      <c r="F344" s="28"/>
      <c r="G344" s="49"/>
      <c r="H344" s="49"/>
      <c r="I344" s="49"/>
      <c r="J344" s="49"/>
      <c r="K344" s="106"/>
      <c r="L344" s="34"/>
      <c r="M344" s="45"/>
      <c r="N344" s="34"/>
      <c r="O344" s="50"/>
    </row>
    <row r="345" ht="15.75" customHeight="1">
      <c r="A345" s="28"/>
      <c r="B345" s="28"/>
      <c r="C345" s="45"/>
      <c r="D345" s="50"/>
      <c r="E345" s="28"/>
      <c r="F345" s="28"/>
      <c r="G345" s="49"/>
      <c r="H345" s="49"/>
      <c r="I345" s="49"/>
      <c r="J345" s="49"/>
      <c r="K345" s="106"/>
      <c r="L345" s="34"/>
      <c r="M345" s="45"/>
      <c r="N345" s="34"/>
      <c r="O345" s="50"/>
    </row>
    <row r="346" ht="15.75" customHeight="1">
      <c r="A346" s="28"/>
      <c r="B346" s="28"/>
      <c r="C346" s="45"/>
      <c r="D346" s="50"/>
      <c r="E346" s="28"/>
      <c r="F346" s="28"/>
      <c r="G346" s="49"/>
      <c r="H346" s="49"/>
      <c r="I346" s="49"/>
      <c r="J346" s="49"/>
      <c r="K346" s="106"/>
      <c r="L346" s="34"/>
      <c r="M346" s="45"/>
      <c r="N346" s="34"/>
      <c r="O346" s="50"/>
    </row>
    <row r="347" ht="15.75" customHeight="1">
      <c r="A347" s="28"/>
      <c r="B347" s="28"/>
      <c r="C347" s="45"/>
      <c r="D347" s="50"/>
      <c r="E347" s="28"/>
      <c r="F347" s="28"/>
      <c r="G347" s="49"/>
      <c r="H347" s="49"/>
      <c r="I347" s="49"/>
      <c r="J347" s="49"/>
      <c r="K347" s="106"/>
      <c r="L347" s="34"/>
      <c r="M347" s="45"/>
      <c r="N347" s="34"/>
      <c r="O347" s="50"/>
    </row>
    <row r="348" ht="15.75" customHeight="1">
      <c r="A348" s="28"/>
      <c r="B348" s="28"/>
      <c r="C348" s="45"/>
      <c r="D348" s="50"/>
      <c r="E348" s="28"/>
      <c r="F348" s="28"/>
      <c r="G348" s="49"/>
      <c r="H348" s="49"/>
      <c r="I348" s="49"/>
      <c r="J348" s="49"/>
      <c r="K348" s="106"/>
      <c r="L348" s="34"/>
      <c r="M348" s="45"/>
      <c r="N348" s="34"/>
      <c r="O348" s="50"/>
    </row>
    <row r="349" ht="15.75" customHeight="1">
      <c r="A349" s="28"/>
      <c r="B349" s="28"/>
      <c r="C349" s="45"/>
      <c r="D349" s="50"/>
      <c r="E349" s="28"/>
      <c r="F349" s="28"/>
      <c r="G349" s="49"/>
      <c r="H349" s="49"/>
      <c r="I349" s="49"/>
      <c r="J349" s="49"/>
      <c r="K349" s="106"/>
      <c r="L349" s="34"/>
      <c r="M349" s="45"/>
      <c r="N349" s="34"/>
      <c r="O349" s="50"/>
    </row>
    <row r="350" ht="15.75" customHeight="1">
      <c r="A350" s="28"/>
      <c r="B350" s="28"/>
      <c r="C350" s="45"/>
      <c r="D350" s="50"/>
      <c r="E350" s="28"/>
      <c r="F350" s="28"/>
      <c r="G350" s="49"/>
      <c r="H350" s="49"/>
      <c r="I350" s="49"/>
      <c r="J350" s="49"/>
      <c r="K350" s="106"/>
      <c r="L350" s="34"/>
      <c r="M350" s="45"/>
      <c r="N350" s="34"/>
      <c r="O350" s="50"/>
    </row>
    <row r="351" ht="15.75" customHeight="1">
      <c r="A351" s="28"/>
      <c r="B351" s="28"/>
      <c r="C351" s="45"/>
      <c r="D351" s="50"/>
      <c r="E351" s="28"/>
      <c r="F351" s="28"/>
      <c r="G351" s="49"/>
      <c r="H351" s="49"/>
      <c r="I351" s="49"/>
      <c r="J351" s="49"/>
      <c r="K351" s="106"/>
      <c r="L351" s="34"/>
      <c r="M351" s="45"/>
      <c r="N351" s="34"/>
      <c r="O351" s="50"/>
    </row>
    <row r="352" ht="15.75" customHeight="1">
      <c r="A352" s="28"/>
      <c r="B352" s="28"/>
      <c r="C352" s="45"/>
      <c r="D352" s="50"/>
      <c r="E352" s="28"/>
      <c r="F352" s="28"/>
      <c r="G352" s="49"/>
      <c r="H352" s="49"/>
      <c r="I352" s="49"/>
      <c r="J352" s="49"/>
      <c r="K352" s="106"/>
      <c r="L352" s="34"/>
      <c r="M352" s="45"/>
      <c r="N352" s="34"/>
      <c r="O352" s="50"/>
    </row>
    <row r="353" ht="15.75" customHeight="1">
      <c r="A353" s="28"/>
      <c r="B353" s="28"/>
      <c r="C353" s="45"/>
      <c r="D353" s="50"/>
      <c r="E353" s="28"/>
      <c r="F353" s="28"/>
      <c r="G353" s="49"/>
      <c r="H353" s="49"/>
      <c r="I353" s="49"/>
      <c r="J353" s="49"/>
      <c r="K353" s="106"/>
      <c r="L353" s="34"/>
      <c r="M353" s="45"/>
      <c r="N353" s="34"/>
      <c r="O353" s="50"/>
    </row>
    <row r="354" ht="15.75" customHeight="1">
      <c r="A354" s="28"/>
      <c r="B354" s="28"/>
      <c r="C354" s="45"/>
      <c r="D354" s="50"/>
      <c r="E354" s="28"/>
      <c r="F354" s="28"/>
      <c r="G354" s="49"/>
      <c r="H354" s="49"/>
      <c r="I354" s="49"/>
      <c r="J354" s="49"/>
      <c r="K354" s="106"/>
      <c r="L354" s="34"/>
      <c r="M354" s="45"/>
      <c r="N354" s="34"/>
      <c r="O354" s="50"/>
    </row>
    <row r="355" ht="15.75" customHeight="1">
      <c r="A355" s="28"/>
      <c r="B355" s="28"/>
      <c r="C355" s="45"/>
      <c r="D355" s="50"/>
      <c r="E355" s="28"/>
      <c r="F355" s="28"/>
      <c r="G355" s="49"/>
      <c r="H355" s="49"/>
      <c r="I355" s="49"/>
      <c r="J355" s="49"/>
      <c r="K355" s="106"/>
      <c r="L355" s="34"/>
      <c r="M355" s="45"/>
      <c r="N355" s="34"/>
      <c r="O355" s="50"/>
    </row>
    <row r="356" ht="15.75" customHeight="1">
      <c r="A356" s="28"/>
      <c r="B356" s="28"/>
      <c r="C356" s="45"/>
      <c r="D356" s="50"/>
      <c r="E356" s="28"/>
      <c r="F356" s="28"/>
      <c r="G356" s="49"/>
      <c r="H356" s="49"/>
      <c r="I356" s="49"/>
      <c r="J356" s="49"/>
      <c r="K356" s="106"/>
      <c r="L356" s="34"/>
      <c r="M356" s="45"/>
      <c r="N356" s="34"/>
      <c r="O356" s="50"/>
    </row>
    <row r="357" ht="15.75" customHeight="1">
      <c r="A357" s="28"/>
      <c r="B357" s="28"/>
      <c r="C357" s="45"/>
      <c r="D357" s="50"/>
      <c r="E357" s="28"/>
      <c r="F357" s="28"/>
      <c r="G357" s="49"/>
      <c r="H357" s="49"/>
      <c r="I357" s="49"/>
      <c r="J357" s="49"/>
      <c r="K357" s="106"/>
      <c r="L357" s="34"/>
      <c r="M357" s="45"/>
      <c r="N357" s="34"/>
      <c r="O357" s="50"/>
    </row>
    <row r="358" ht="15.75" customHeight="1">
      <c r="A358" s="28"/>
      <c r="B358" s="28"/>
      <c r="C358" s="45"/>
      <c r="D358" s="50"/>
      <c r="E358" s="28"/>
      <c r="F358" s="28"/>
      <c r="G358" s="49"/>
      <c r="H358" s="49"/>
      <c r="I358" s="49"/>
      <c r="J358" s="49"/>
      <c r="K358" s="106"/>
      <c r="L358" s="34"/>
      <c r="M358" s="45"/>
      <c r="N358" s="34"/>
      <c r="O358" s="50"/>
    </row>
    <row r="359" ht="15.75" customHeight="1">
      <c r="A359" s="28"/>
      <c r="B359" s="28"/>
      <c r="C359" s="45"/>
      <c r="D359" s="50"/>
      <c r="E359" s="28"/>
      <c r="F359" s="28"/>
      <c r="G359" s="49"/>
      <c r="H359" s="49"/>
      <c r="I359" s="49"/>
      <c r="J359" s="49"/>
      <c r="K359" s="106"/>
      <c r="L359" s="34"/>
      <c r="M359" s="45"/>
      <c r="N359" s="34"/>
      <c r="O359" s="50"/>
    </row>
    <row r="360" ht="15.75" customHeight="1">
      <c r="A360" s="28"/>
      <c r="B360" s="28"/>
      <c r="C360" s="45"/>
      <c r="D360" s="50"/>
      <c r="E360" s="28"/>
      <c r="F360" s="28"/>
      <c r="G360" s="49"/>
      <c r="H360" s="49"/>
      <c r="I360" s="49"/>
      <c r="J360" s="49"/>
      <c r="K360" s="106"/>
      <c r="L360" s="34"/>
      <c r="M360" s="45"/>
      <c r="N360" s="34"/>
      <c r="O360" s="50"/>
    </row>
    <row r="361" ht="15.75" customHeight="1">
      <c r="A361" s="28"/>
      <c r="B361" s="28"/>
      <c r="C361" s="45"/>
      <c r="D361" s="50"/>
      <c r="E361" s="28"/>
      <c r="F361" s="28"/>
      <c r="G361" s="49"/>
      <c r="H361" s="49"/>
      <c r="I361" s="49"/>
      <c r="J361" s="49"/>
      <c r="K361" s="106"/>
      <c r="L361" s="34"/>
      <c r="M361" s="45"/>
      <c r="N361" s="34"/>
      <c r="O361" s="50"/>
    </row>
    <row r="362" ht="15.75" customHeight="1">
      <c r="A362" s="28"/>
      <c r="B362" s="28"/>
      <c r="C362" s="45"/>
      <c r="D362" s="50"/>
      <c r="E362" s="28"/>
      <c r="F362" s="28"/>
      <c r="G362" s="49"/>
      <c r="H362" s="49"/>
      <c r="I362" s="49"/>
      <c r="J362" s="49"/>
      <c r="K362" s="106"/>
      <c r="L362" s="34"/>
      <c r="M362" s="45"/>
      <c r="N362" s="34"/>
      <c r="O362" s="50"/>
    </row>
    <row r="363" ht="15.75" customHeight="1">
      <c r="A363" s="28"/>
      <c r="B363" s="28"/>
      <c r="C363" s="45"/>
      <c r="D363" s="50"/>
      <c r="E363" s="28"/>
      <c r="F363" s="28"/>
      <c r="G363" s="49"/>
      <c r="H363" s="49"/>
      <c r="I363" s="49"/>
      <c r="J363" s="49"/>
      <c r="K363" s="106"/>
      <c r="L363" s="34"/>
      <c r="M363" s="45"/>
      <c r="N363" s="34"/>
      <c r="O363" s="50"/>
    </row>
    <row r="364" ht="15.75" customHeight="1">
      <c r="A364" s="28"/>
      <c r="B364" s="28"/>
      <c r="C364" s="45"/>
      <c r="D364" s="50"/>
      <c r="E364" s="28"/>
      <c r="F364" s="28"/>
      <c r="G364" s="49"/>
      <c r="H364" s="49"/>
      <c r="I364" s="49"/>
      <c r="J364" s="49"/>
      <c r="K364" s="106"/>
      <c r="L364" s="34"/>
      <c r="M364" s="45"/>
      <c r="N364" s="34"/>
      <c r="O364" s="50"/>
    </row>
    <row r="365" ht="15.75" customHeight="1">
      <c r="A365" s="28"/>
      <c r="B365" s="28"/>
      <c r="C365" s="45"/>
      <c r="D365" s="50"/>
      <c r="E365" s="28"/>
      <c r="F365" s="28"/>
      <c r="G365" s="49"/>
      <c r="H365" s="49"/>
      <c r="I365" s="49"/>
      <c r="J365" s="49"/>
      <c r="K365" s="106"/>
      <c r="L365" s="34"/>
      <c r="M365" s="45"/>
      <c r="N365" s="34"/>
      <c r="O365" s="50"/>
    </row>
    <row r="366" ht="15.75" customHeight="1">
      <c r="A366" s="28"/>
      <c r="B366" s="28"/>
      <c r="C366" s="45"/>
      <c r="D366" s="50"/>
      <c r="E366" s="28"/>
      <c r="F366" s="28"/>
      <c r="G366" s="49"/>
      <c r="H366" s="49"/>
      <c r="I366" s="49"/>
      <c r="J366" s="49"/>
      <c r="K366" s="106"/>
      <c r="L366" s="34"/>
      <c r="M366" s="45"/>
      <c r="N366" s="34"/>
      <c r="O366" s="50"/>
    </row>
    <row r="367" ht="15.75" customHeight="1">
      <c r="A367" s="28"/>
      <c r="B367" s="28"/>
      <c r="C367" s="45"/>
      <c r="D367" s="50"/>
      <c r="E367" s="28"/>
      <c r="F367" s="28"/>
      <c r="G367" s="49"/>
      <c r="H367" s="49"/>
      <c r="I367" s="49"/>
      <c r="J367" s="49"/>
      <c r="K367" s="106"/>
      <c r="L367" s="34"/>
      <c r="M367" s="45"/>
      <c r="N367" s="34"/>
      <c r="O367" s="50"/>
    </row>
    <row r="368" ht="15.75" customHeight="1">
      <c r="A368" s="28"/>
      <c r="B368" s="28"/>
      <c r="C368" s="45"/>
      <c r="D368" s="50"/>
      <c r="E368" s="28"/>
      <c r="F368" s="28"/>
      <c r="G368" s="49"/>
      <c r="H368" s="49"/>
      <c r="I368" s="49"/>
      <c r="J368" s="49"/>
      <c r="K368" s="106"/>
      <c r="L368" s="34"/>
      <c r="M368" s="45"/>
      <c r="N368" s="34"/>
      <c r="O368" s="50"/>
    </row>
    <row r="369" ht="15.75" customHeight="1">
      <c r="A369" s="28"/>
      <c r="B369" s="28"/>
      <c r="C369" s="45"/>
      <c r="D369" s="50"/>
      <c r="E369" s="28"/>
      <c r="F369" s="28"/>
      <c r="G369" s="49"/>
      <c r="H369" s="49"/>
      <c r="I369" s="49"/>
      <c r="J369" s="49"/>
      <c r="K369" s="106"/>
      <c r="L369" s="34"/>
      <c r="M369" s="45"/>
      <c r="N369" s="34"/>
      <c r="O369" s="50"/>
    </row>
    <row r="370" ht="15.75" customHeight="1">
      <c r="A370" s="28"/>
      <c r="B370" s="28"/>
      <c r="C370" s="45"/>
      <c r="D370" s="50"/>
      <c r="E370" s="28"/>
      <c r="F370" s="28"/>
      <c r="G370" s="49"/>
      <c r="H370" s="49"/>
      <c r="I370" s="49"/>
      <c r="J370" s="49"/>
      <c r="K370" s="106"/>
      <c r="L370" s="34"/>
      <c r="M370" s="45"/>
      <c r="N370" s="34"/>
      <c r="O370" s="50"/>
    </row>
    <row r="371" ht="15.75" customHeight="1">
      <c r="A371" s="28"/>
      <c r="B371" s="28"/>
      <c r="C371" s="45"/>
      <c r="D371" s="50"/>
      <c r="E371" s="28"/>
      <c r="F371" s="28"/>
      <c r="G371" s="49"/>
      <c r="H371" s="49"/>
      <c r="I371" s="49"/>
      <c r="J371" s="49"/>
      <c r="K371" s="106"/>
      <c r="L371" s="34"/>
      <c r="M371" s="45"/>
      <c r="N371" s="34"/>
      <c r="O371" s="50"/>
    </row>
    <row r="372" ht="15.75" customHeight="1">
      <c r="A372" s="28"/>
      <c r="B372" s="28"/>
      <c r="C372" s="45"/>
      <c r="D372" s="50"/>
      <c r="E372" s="28"/>
      <c r="F372" s="28"/>
      <c r="G372" s="49"/>
      <c r="H372" s="49"/>
      <c r="I372" s="49"/>
      <c r="J372" s="49"/>
      <c r="K372" s="106"/>
      <c r="L372" s="34"/>
      <c r="M372" s="45"/>
      <c r="N372" s="34"/>
      <c r="O372" s="50"/>
    </row>
    <row r="373" ht="15.75" customHeight="1">
      <c r="A373" s="28"/>
      <c r="B373" s="28"/>
      <c r="C373" s="45"/>
      <c r="D373" s="50"/>
      <c r="E373" s="28"/>
      <c r="F373" s="28"/>
      <c r="G373" s="49"/>
      <c r="H373" s="49"/>
      <c r="I373" s="49"/>
      <c r="J373" s="49"/>
      <c r="K373" s="106"/>
      <c r="L373" s="34"/>
      <c r="M373" s="45"/>
      <c r="N373" s="34"/>
      <c r="O373" s="50"/>
    </row>
    <row r="374" ht="15.75" customHeight="1">
      <c r="A374" s="28"/>
      <c r="B374" s="28"/>
      <c r="C374" s="45"/>
      <c r="D374" s="50"/>
      <c r="E374" s="28"/>
      <c r="F374" s="28"/>
      <c r="G374" s="49"/>
      <c r="H374" s="49"/>
      <c r="I374" s="49"/>
      <c r="J374" s="49"/>
      <c r="K374" s="106"/>
      <c r="L374" s="34"/>
      <c r="M374" s="45"/>
      <c r="N374" s="34"/>
      <c r="O374" s="50"/>
    </row>
    <row r="375" ht="15.75" customHeight="1">
      <c r="A375" s="28"/>
      <c r="B375" s="28"/>
      <c r="C375" s="45"/>
      <c r="D375" s="50"/>
      <c r="E375" s="28"/>
      <c r="F375" s="28"/>
      <c r="G375" s="49"/>
      <c r="H375" s="49"/>
      <c r="I375" s="49"/>
      <c r="J375" s="49"/>
      <c r="K375" s="106"/>
      <c r="L375" s="34"/>
      <c r="M375" s="45"/>
      <c r="N375" s="34"/>
      <c r="O375" s="50"/>
    </row>
    <row r="376" ht="15.75" customHeight="1">
      <c r="A376" s="28"/>
      <c r="B376" s="28"/>
      <c r="C376" s="45"/>
      <c r="D376" s="50"/>
      <c r="E376" s="28"/>
      <c r="F376" s="28"/>
      <c r="G376" s="49"/>
      <c r="H376" s="49"/>
      <c r="I376" s="49"/>
      <c r="J376" s="49"/>
      <c r="K376" s="106"/>
      <c r="L376" s="34"/>
      <c r="M376" s="45"/>
      <c r="N376" s="34"/>
      <c r="O376" s="50"/>
    </row>
    <row r="377" ht="15.75" customHeight="1">
      <c r="A377" s="28"/>
      <c r="B377" s="28"/>
      <c r="C377" s="45"/>
      <c r="D377" s="50"/>
      <c r="E377" s="28"/>
      <c r="F377" s="28"/>
      <c r="G377" s="49"/>
      <c r="H377" s="49"/>
      <c r="I377" s="49"/>
      <c r="J377" s="49"/>
      <c r="K377" s="106"/>
      <c r="L377" s="34"/>
      <c r="M377" s="45"/>
      <c r="N377" s="34"/>
      <c r="O377" s="50"/>
    </row>
    <row r="378" ht="15.75" customHeight="1">
      <c r="A378" s="28"/>
      <c r="B378" s="28"/>
      <c r="C378" s="45"/>
      <c r="D378" s="50"/>
      <c r="E378" s="28"/>
      <c r="F378" s="28"/>
      <c r="G378" s="49"/>
      <c r="H378" s="49"/>
      <c r="I378" s="49"/>
      <c r="J378" s="49"/>
      <c r="K378" s="106"/>
      <c r="L378" s="34"/>
      <c r="M378" s="45"/>
      <c r="N378" s="34"/>
      <c r="O378" s="50"/>
    </row>
    <row r="379" ht="15.75" customHeight="1">
      <c r="A379" s="28"/>
      <c r="B379" s="28"/>
      <c r="C379" s="45"/>
      <c r="D379" s="50"/>
      <c r="E379" s="28"/>
      <c r="F379" s="28"/>
      <c r="G379" s="49"/>
      <c r="H379" s="49"/>
      <c r="I379" s="49"/>
      <c r="J379" s="49"/>
      <c r="K379" s="106"/>
      <c r="L379" s="34"/>
      <c r="M379" s="45"/>
      <c r="N379" s="34"/>
      <c r="O379" s="50"/>
    </row>
    <row r="380" ht="15.75" customHeight="1">
      <c r="A380" s="28"/>
      <c r="B380" s="28"/>
      <c r="C380" s="45"/>
      <c r="D380" s="50"/>
      <c r="E380" s="28"/>
      <c r="F380" s="28"/>
      <c r="G380" s="49"/>
      <c r="H380" s="49"/>
      <c r="I380" s="49"/>
      <c r="J380" s="49"/>
      <c r="K380" s="106"/>
      <c r="L380" s="34"/>
      <c r="M380" s="45"/>
      <c r="N380" s="34"/>
      <c r="O380" s="50"/>
    </row>
    <row r="381" ht="15.75" customHeight="1">
      <c r="A381" s="28"/>
      <c r="B381" s="28"/>
      <c r="C381" s="45"/>
      <c r="D381" s="50"/>
      <c r="E381" s="28"/>
      <c r="F381" s="28"/>
      <c r="G381" s="49"/>
      <c r="H381" s="49"/>
      <c r="I381" s="49"/>
      <c r="J381" s="49"/>
      <c r="K381" s="106"/>
      <c r="L381" s="34"/>
      <c r="M381" s="45"/>
      <c r="N381" s="34"/>
      <c r="O381" s="50"/>
    </row>
    <row r="382" ht="15.75" customHeight="1">
      <c r="A382" s="28"/>
      <c r="B382" s="28"/>
      <c r="C382" s="45"/>
      <c r="D382" s="50"/>
      <c r="E382" s="28"/>
      <c r="F382" s="28"/>
      <c r="G382" s="49"/>
      <c r="H382" s="49"/>
      <c r="I382" s="49"/>
      <c r="J382" s="49"/>
      <c r="K382" s="106"/>
      <c r="L382" s="34"/>
      <c r="M382" s="45"/>
      <c r="N382" s="34"/>
      <c r="O382" s="50"/>
    </row>
    <row r="383" ht="15.75" customHeight="1">
      <c r="A383" s="28"/>
      <c r="B383" s="28"/>
      <c r="C383" s="45"/>
      <c r="D383" s="50"/>
      <c r="E383" s="28"/>
      <c r="F383" s="28"/>
      <c r="G383" s="49"/>
      <c r="H383" s="49"/>
      <c r="I383" s="49"/>
      <c r="J383" s="49"/>
      <c r="K383" s="106"/>
      <c r="L383" s="34"/>
      <c r="M383" s="45"/>
      <c r="N383" s="34"/>
      <c r="O383" s="50"/>
    </row>
    <row r="384" ht="15.75" customHeight="1">
      <c r="A384" s="28"/>
      <c r="B384" s="28"/>
      <c r="C384" s="45"/>
      <c r="D384" s="50"/>
      <c r="E384" s="28"/>
      <c r="F384" s="28"/>
      <c r="G384" s="49"/>
      <c r="H384" s="49"/>
      <c r="I384" s="49"/>
      <c r="J384" s="49"/>
      <c r="K384" s="106"/>
      <c r="L384" s="34"/>
      <c r="M384" s="45"/>
      <c r="N384" s="34"/>
      <c r="O384" s="50"/>
    </row>
    <row r="385" ht="15.75" customHeight="1">
      <c r="A385" s="28"/>
      <c r="B385" s="28"/>
      <c r="C385" s="45"/>
      <c r="D385" s="50"/>
      <c r="E385" s="28"/>
      <c r="F385" s="28"/>
      <c r="G385" s="49"/>
      <c r="H385" s="49"/>
      <c r="I385" s="49"/>
      <c r="J385" s="49"/>
      <c r="K385" s="106"/>
      <c r="L385" s="34"/>
      <c r="M385" s="45"/>
      <c r="N385" s="34"/>
      <c r="O385" s="50"/>
    </row>
    <row r="386" ht="15.75" customHeight="1">
      <c r="A386" s="28"/>
      <c r="B386" s="28"/>
      <c r="C386" s="45"/>
      <c r="D386" s="50"/>
      <c r="E386" s="28"/>
      <c r="F386" s="28"/>
      <c r="G386" s="49"/>
      <c r="H386" s="49"/>
      <c r="I386" s="49"/>
      <c r="J386" s="49"/>
      <c r="K386" s="106"/>
      <c r="L386" s="34"/>
      <c r="M386" s="45"/>
      <c r="N386" s="34"/>
      <c r="O386" s="50"/>
    </row>
    <row r="387" ht="15.75" customHeight="1">
      <c r="A387" s="28"/>
      <c r="B387" s="28"/>
      <c r="C387" s="45"/>
      <c r="D387" s="50"/>
      <c r="E387" s="28"/>
      <c r="F387" s="28"/>
      <c r="G387" s="49"/>
      <c r="H387" s="49"/>
      <c r="I387" s="49"/>
      <c r="J387" s="49"/>
      <c r="K387" s="106"/>
      <c r="L387" s="34"/>
      <c r="M387" s="45"/>
      <c r="N387" s="34"/>
      <c r="O387" s="50"/>
    </row>
    <row r="388" ht="15.75" customHeight="1">
      <c r="A388" s="28"/>
      <c r="B388" s="28"/>
      <c r="C388" s="45"/>
      <c r="D388" s="50"/>
      <c r="E388" s="28"/>
      <c r="F388" s="28"/>
      <c r="G388" s="49"/>
      <c r="H388" s="49"/>
      <c r="I388" s="49"/>
      <c r="J388" s="49"/>
      <c r="K388" s="106"/>
      <c r="L388" s="34"/>
      <c r="M388" s="45"/>
      <c r="N388" s="34"/>
      <c r="O388" s="50"/>
    </row>
    <row r="389" ht="15.75" customHeight="1">
      <c r="A389" s="28"/>
      <c r="B389" s="28"/>
      <c r="C389" s="45"/>
      <c r="D389" s="50"/>
      <c r="E389" s="28"/>
      <c r="F389" s="28"/>
      <c r="G389" s="49"/>
      <c r="H389" s="49"/>
      <c r="I389" s="49"/>
      <c r="J389" s="49"/>
      <c r="K389" s="106"/>
      <c r="L389" s="34"/>
      <c r="M389" s="45"/>
      <c r="N389" s="34"/>
      <c r="O389" s="50"/>
    </row>
    <row r="390" ht="15.75" customHeight="1">
      <c r="A390" s="28"/>
      <c r="B390" s="28"/>
      <c r="C390" s="45"/>
      <c r="D390" s="50"/>
      <c r="E390" s="28"/>
      <c r="F390" s="28"/>
      <c r="G390" s="49"/>
      <c r="H390" s="49"/>
      <c r="I390" s="49"/>
      <c r="J390" s="49"/>
      <c r="K390" s="106"/>
      <c r="L390" s="34"/>
      <c r="M390" s="45"/>
      <c r="N390" s="34"/>
      <c r="O390" s="50"/>
    </row>
    <row r="391" ht="15.75" customHeight="1">
      <c r="A391" s="28"/>
      <c r="B391" s="28"/>
      <c r="C391" s="45"/>
      <c r="D391" s="50"/>
      <c r="E391" s="28"/>
      <c r="F391" s="28"/>
      <c r="G391" s="49"/>
      <c r="H391" s="49"/>
      <c r="I391" s="49"/>
      <c r="J391" s="49"/>
      <c r="K391" s="106"/>
      <c r="L391" s="34"/>
      <c r="M391" s="45"/>
      <c r="N391" s="34"/>
      <c r="O391" s="50"/>
    </row>
    <row r="392" ht="15.75" customHeight="1">
      <c r="A392" s="28"/>
      <c r="B392" s="28"/>
      <c r="C392" s="45"/>
      <c r="D392" s="50"/>
      <c r="E392" s="28"/>
      <c r="F392" s="28"/>
      <c r="G392" s="49"/>
      <c r="H392" s="49"/>
      <c r="I392" s="49"/>
      <c r="J392" s="49"/>
      <c r="K392" s="106"/>
      <c r="L392" s="34"/>
      <c r="M392" s="45"/>
      <c r="N392" s="34"/>
      <c r="O392" s="50"/>
    </row>
    <row r="393" ht="15.75" customHeight="1">
      <c r="A393" s="28"/>
      <c r="B393" s="28"/>
      <c r="C393" s="45"/>
      <c r="D393" s="50"/>
      <c r="E393" s="28"/>
      <c r="F393" s="28"/>
      <c r="G393" s="49"/>
      <c r="H393" s="49"/>
      <c r="I393" s="49"/>
      <c r="J393" s="49"/>
      <c r="K393" s="106"/>
      <c r="L393" s="34"/>
      <c r="M393" s="45"/>
      <c r="N393" s="34"/>
      <c r="O393" s="50"/>
    </row>
    <row r="394" ht="15.75" customHeight="1">
      <c r="A394" s="28"/>
      <c r="B394" s="28"/>
      <c r="C394" s="45"/>
      <c r="D394" s="50"/>
      <c r="E394" s="28"/>
      <c r="F394" s="28"/>
      <c r="G394" s="49"/>
      <c r="H394" s="49"/>
      <c r="I394" s="49"/>
      <c r="J394" s="49"/>
      <c r="K394" s="106"/>
      <c r="L394" s="34"/>
      <c r="M394" s="45"/>
      <c r="N394" s="34"/>
      <c r="O394" s="50"/>
    </row>
    <row r="395" ht="15.75" customHeight="1">
      <c r="A395" s="28"/>
      <c r="B395" s="28"/>
      <c r="C395" s="45"/>
      <c r="D395" s="50"/>
      <c r="E395" s="28"/>
      <c r="F395" s="28"/>
      <c r="G395" s="49"/>
      <c r="H395" s="49"/>
      <c r="I395" s="49"/>
      <c r="J395" s="49"/>
      <c r="K395" s="106"/>
      <c r="L395" s="34"/>
      <c r="M395" s="45"/>
      <c r="N395" s="34"/>
      <c r="O395" s="50"/>
    </row>
    <row r="396" ht="15.75" customHeight="1">
      <c r="A396" s="28"/>
      <c r="B396" s="28"/>
      <c r="C396" s="45"/>
      <c r="D396" s="50"/>
      <c r="E396" s="28"/>
      <c r="F396" s="28"/>
      <c r="G396" s="49"/>
      <c r="H396" s="49"/>
      <c r="I396" s="49"/>
      <c r="J396" s="49"/>
      <c r="K396" s="106"/>
      <c r="L396" s="34"/>
      <c r="M396" s="45"/>
      <c r="N396" s="34"/>
      <c r="O396" s="50"/>
    </row>
    <row r="397" ht="15.75" customHeight="1">
      <c r="A397" s="28"/>
      <c r="B397" s="28"/>
      <c r="C397" s="45"/>
      <c r="D397" s="50"/>
      <c r="E397" s="28"/>
      <c r="F397" s="28"/>
      <c r="G397" s="49"/>
      <c r="H397" s="49"/>
      <c r="I397" s="49"/>
      <c r="J397" s="49"/>
      <c r="K397" s="106"/>
      <c r="L397" s="34"/>
      <c r="M397" s="45"/>
      <c r="N397" s="34"/>
      <c r="O397" s="50"/>
    </row>
    <row r="398" ht="15.75" customHeight="1">
      <c r="A398" s="28"/>
      <c r="B398" s="28"/>
      <c r="C398" s="45"/>
      <c r="D398" s="50"/>
      <c r="E398" s="28"/>
      <c r="F398" s="28"/>
      <c r="G398" s="49"/>
      <c r="H398" s="49"/>
      <c r="I398" s="49"/>
      <c r="J398" s="49"/>
      <c r="K398" s="106"/>
      <c r="L398" s="34"/>
      <c r="M398" s="45"/>
      <c r="N398" s="34"/>
      <c r="O398" s="50"/>
    </row>
    <row r="399" ht="15.75" customHeight="1">
      <c r="A399" s="28"/>
      <c r="B399" s="28"/>
      <c r="C399" s="45"/>
      <c r="D399" s="50"/>
      <c r="E399" s="28"/>
      <c r="F399" s="28"/>
      <c r="G399" s="49"/>
      <c r="H399" s="49"/>
      <c r="I399" s="49"/>
      <c r="J399" s="49"/>
      <c r="K399" s="106"/>
      <c r="L399" s="34"/>
      <c r="M399" s="45"/>
      <c r="N399" s="34"/>
      <c r="O399" s="50"/>
    </row>
    <row r="400" ht="15.75" customHeight="1">
      <c r="A400" s="28"/>
      <c r="B400" s="28"/>
      <c r="C400" s="45"/>
      <c r="D400" s="50"/>
      <c r="E400" s="28"/>
      <c r="F400" s="28"/>
      <c r="G400" s="49"/>
      <c r="H400" s="49"/>
      <c r="I400" s="49"/>
      <c r="J400" s="49"/>
      <c r="K400" s="106"/>
      <c r="L400" s="34"/>
      <c r="M400" s="45"/>
      <c r="N400" s="34"/>
      <c r="O400" s="50"/>
    </row>
    <row r="401" ht="15.75" customHeight="1">
      <c r="A401" s="28"/>
      <c r="B401" s="28"/>
      <c r="C401" s="45"/>
      <c r="D401" s="50"/>
      <c r="E401" s="28"/>
      <c r="F401" s="28"/>
      <c r="G401" s="49"/>
      <c r="H401" s="49"/>
      <c r="I401" s="49"/>
      <c r="J401" s="49"/>
      <c r="K401" s="106"/>
      <c r="L401" s="34"/>
      <c r="M401" s="45"/>
      <c r="N401" s="34"/>
      <c r="O401" s="50"/>
    </row>
    <row r="402" ht="15.75" customHeight="1">
      <c r="A402" s="28"/>
      <c r="B402" s="28"/>
      <c r="C402" s="45"/>
      <c r="D402" s="50"/>
      <c r="E402" s="28"/>
      <c r="F402" s="28"/>
      <c r="G402" s="49"/>
      <c r="H402" s="49"/>
      <c r="I402" s="49"/>
      <c r="J402" s="49"/>
      <c r="K402" s="106"/>
      <c r="L402" s="34"/>
      <c r="M402" s="45"/>
      <c r="N402" s="34"/>
      <c r="O402" s="50"/>
    </row>
    <row r="403" ht="15.75" customHeight="1">
      <c r="A403" s="28"/>
      <c r="B403" s="28"/>
      <c r="C403" s="45"/>
      <c r="D403" s="50"/>
      <c r="E403" s="28"/>
      <c r="F403" s="28"/>
      <c r="G403" s="49"/>
      <c r="H403" s="49"/>
      <c r="I403" s="49"/>
      <c r="J403" s="49"/>
      <c r="K403" s="106"/>
      <c r="L403" s="34"/>
      <c r="M403" s="45"/>
      <c r="N403" s="34"/>
      <c r="O403" s="50"/>
    </row>
    <row r="404" ht="15.75" customHeight="1">
      <c r="A404" s="28"/>
      <c r="B404" s="28"/>
      <c r="C404" s="45"/>
      <c r="D404" s="50"/>
      <c r="E404" s="28"/>
      <c r="F404" s="28"/>
      <c r="G404" s="49"/>
      <c r="H404" s="49"/>
      <c r="I404" s="49"/>
      <c r="J404" s="49"/>
      <c r="K404" s="106"/>
      <c r="L404" s="34"/>
      <c r="M404" s="45"/>
      <c r="N404" s="34"/>
      <c r="O404" s="50"/>
    </row>
    <row r="405" ht="15.75" customHeight="1">
      <c r="A405" s="28"/>
      <c r="B405" s="28"/>
      <c r="C405" s="45"/>
      <c r="D405" s="50"/>
      <c r="E405" s="28"/>
      <c r="F405" s="28"/>
      <c r="G405" s="49"/>
      <c r="H405" s="49"/>
      <c r="I405" s="49"/>
      <c r="J405" s="49"/>
      <c r="K405" s="106"/>
      <c r="L405" s="34"/>
      <c r="M405" s="45"/>
      <c r="N405" s="34"/>
      <c r="O405" s="50"/>
    </row>
    <row r="406" ht="15.75" customHeight="1">
      <c r="A406" s="28"/>
      <c r="B406" s="28"/>
      <c r="C406" s="45"/>
      <c r="D406" s="50"/>
      <c r="E406" s="28"/>
      <c r="F406" s="28"/>
      <c r="G406" s="49"/>
      <c r="H406" s="49"/>
      <c r="I406" s="49"/>
      <c r="J406" s="49"/>
      <c r="K406" s="106"/>
      <c r="L406" s="34"/>
      <c r="M406" s="45"/>
      <c r="N406" s="34"/>
      <c r="O406" s="50"/>
    </row>
    <row r="407" ht="15.75" customHeight="1">
      <c r="A407" s="28"/>
      <c r="B407" s="28"/>
      <c r="C407" s="45"/>
      <c r="D407" s="50"/>
      <c r="E407" s="28"/>
      <c r="F407" s="28"/>
      <c r="G407" s="49"/>
      <c r="H407" s="49"/>
      <c r="I407" s="49"/>
      <c r="J407" s="49"/>
      <c r="K407" s="106"/>
      <c r="L407" s="34"/>
      <c r="M407" s="45"/>
      <c r="N407" s="34"/>
      <c r="O407" s="50"/>
    </row>
    <row r="408" ht="15.75" customHeight="1">
      <c r="A408" s="28"/>
      <c r="B408" s="28"/>
      <c r="C408" s="45"/>
      <c r="D408" s="50"/>
      <c r="E408" s="28"/>
      <c r="F408" s="28"/>
      <c r="G408" s="49"/>
      <c r="H408" s="49"/>
      <c r="I408" s="49"/>
      <c r="J408" s="49"/>
      <c r="K408" s="106"/>
      <c r="L408" s="34"/>
      <c r="M408" s="45"/>
      <c r="N408" s="34"/>
      <c r="O408" s="50"/>
    </row>
    <row r="409" ht="15.75" customHeight="1">
      <c r="A409" s="28"/>
      <c r="B409" s="28"/>
      <c r="C409" s="45"/>
      <c r="D409" s="50"/>
      <c r="E409" s="28"/>
      <c r="F409" s="28"/>
      <c r="G409" s="49"/>
      <c r="H409" s="49"/>
      <c r="I409" s="49"/>
      <c r="J409" s="49"/>
      <c r="K409" s="106"/>
      <c r="L409" s="34"/>
      <c r="M409" s="45"/>
      <c r="N409" s="34"/>
      <c r="O409" s="50"/>
    </row>
    <row r="410" ht="15.75" customHeight="1">
      <c r="A410" s="28"/>
      <c r="B410" s="28"/>
      <c r="C410" s="45"/>
      <c r="D410" s="50"/>
      <c r="E410" s="28"/>
      <c r="F410" s="28"/>
      <c r="G410" s="49"/>
      <c r="H410" s="49"/>
      <c r="I410" s="49"/>
      <c r="J410" s="49"/>
      <c r="K410" s="106"/>
      <c r="L410" s="34"/>
      <c r="M410" s="45"/>
      <c r="N410" s="34"/>
      <c r="O410" s="50"/>
    </row>
    <row r="411" ht="15.75" customHeight="1">
      <c r="A411" s="28"/>
      <c r="B411" s="28"/>
      <c r="C411" s="45"/>
      <c r="D411" s="50"/>
      <c r="E411" s="28"/>
      <c r="F411" s="28"/>
      <c r="G411" s="49"/>
      <c r="H411" s="49"/>
      <c r="I411" s="49"/>
      <c r="J411" s="49"/>
      <c r="K411" s="106"/>
      <c r="L411" s="34"/>
      <c r="M411" s="45"/>
      <c r="N411" s="34"/>
      <c r="O411" s="50"/>
    </row>
    <row r="412" ht="15.75" customHeight="1">
      <c r="A412" s="28"/>
      <c r="B412" s="28"/>
      <c r="C412" s="45"/>
      <c r="D412" s="50"/>
      <c r="E412" s="28"/>
      <c r="F412" s="28"/>
      <c r="G412" s="49"/>
      <c r="H412" s="49"/>
      <c r="I412" s="49"/>
      <c r="J412" s="49"/>
      <c r="K412" s="106"/>
      <c r="L412" s="34"/>
      <c r="M412" s="45"/>
      <c r="N412" s="34"/>
      <c r="O412" s="50"/>
    </row>
    <row r="413" ht="15.75" customHeight="1">
      <c r="A413" s="28"/>
      <c r="B413" s="28"/>
      <c r="C413" s="45"/>
      <c r="D413" s="50"/>
      <c r="E413" s="28"/>
      <c r="F413" s="28"/>
      <c r="G413" s="49"/>
      <c r="H413" s="49"/>
      <c r="I413" s="49"/>
      <c r="J413" s="49"/>
      <c r="K413" s="106"/>
      <c r="L413" s="34"/>
      <c r="M413" s="45"/>
      <c r="N413" s="34"/>
      <c r="O413" s="50"/>
    </row>
    <row r="414" ht="15.75" customHeight="1">
      <c r="A414" s="28"/>
      <c r="B414" s="28"/>
      <c r="C414" s="45"/>
      <c r="D414" s="50"/>
      <c r="E414" s="28"/>
      <c r="F414" s="28"/>
      <c r="G414" s="49"/>
      <c r="H414" s="49"/>
      <c r="I414" s="49"/>
      <c r="J414" s="49"/>
      <c r="K414" s="106"/>
      <c r="L414" s="34"/>
      <c r="M414" s="45"/>
      <c r="N414" s="34"/>
      <c r="O414" s="50"/>
    </row>
    <row r="415" ht="15.75" customHeight="1">
      <c r="A415" s="28"/>
      <c r="B415" s="28"/>
      <c r="C415" s="45"/>
      <c r="D415" s="50"/>
      <c r="E415" s="28"/>
      <c r="F415" s="28"/>
      <c r="G415" s="49"/>
      <c r="H415" s="49"/>
      <c r="I415" s="49"/>
      <c r="J415" s="49"/>
      <c r="K415" s="106"/>
      <c r="L415" s="34"/>
      <c r="M415" s="45"/>
      <c r="N415" s="34"/>
      <c r="O415" s="50"/>
    </row>
    <row r="416" ht="15.75" customHeight="1">
      <c r="A416" s="28"/>
      <c r="B416" s="28"/>
      <c r="C416" s="45"/>
      <c r="D416" s="50"/>
      <c r="E416" s="28"/>
      <c r="F416" s="28"/>
      <c r="G416" s="49"/>
      <c r="H416" s="49"/>
      <c r="I416" s="49"/>
      <c r="J416" s="49"/>
      <c r="K416" s="106"/>
      <c r="L416" s="34"/>
      <c r="M416" s="45"/>
      <c r="N416" s="34"/>
      <c r="O416" s="50"/>
    </row>
    <row r="417" ht="15.75" customHeight="1">
      <c r="A417" s="28"/>
      <c r="B417" s="28"/>
      <c r="C417" s="45"/>
      <c r="D417" s="50"/>
      <c r="E417" s="28"/>
      <c r="F417" s="28"/>
      <c r="G417" s="49"/>
      <c r="H417" s="49"/>
      <c r="I417" s="49"/>
      <c r="J417" s="49"/>
      <c r="K417" s="106"/>
      <c r="L417" s="34"/>
      <c r="M417" s="45"/>
      <c r="N417" s="34"/>
      <c r="O417" s="50"/>
    </row>
    <row r="418" ht="15.75" customHeight="1">
      <c r="A418" s="28"/>
      <c r="B418" s="28"/>
      <c r="C418" s="45"/>
      <c r="D418" s="50"/>
      <c r="E418" s="28"/>
      <c r="F418" s="28"/>
      <c r="G418" s="49"/>
      <c r="H418" s="49"/>
      <c r="I418" s="49"/>
      <c r="J418" s="49"/>
      <c r="K418" s="106"/>
      <c r="L418" s="34"/>
      <c r="M418" s="45"/>
      <c r="N418" s="34"/>
      <c r="O418" s="50"/>
    </row>
    <row r="419" ht="15.75" customHeight="1">
      <c r="A419" s="28"/>
      <c r="B419" s="28"/>
      <c r="C419" s="45"/>
      <c r="D419" s="50"/>
      <c r="E419" s="28"/>
      <c r="F419" s="28"/>
      <c r="G419" s="49"/>
      <c r="H419" s="49"/>
      <c r="I419" s="49"/>
      <c r="J419" s="49"/>
      <c r="K419" s="106"/>
      <c r="L419" s="34"/>
      <c r="M419" s="45"/>
      <c r="N419" s="34"/>
      <c r="O419" s="50"/>
    </row>
    <row r="420" ht="15.75" customHeight="1">
      <c r="A420" s="28"/>
      <c r="B420" s="28"/>
      <c r="C420" s="45"/>
      <c r="D420" s="50"/>
      <c r="E420" s="28"/>
      <c r="F420" s="28"/>
      <c r="G420" s="49"/>
      <c r="H420" s="49"/>
      <c r="I420" s="49"/>
      <c r="J420" s="49"/>
      <c r="K420" s="106"/>
      <c r="L420" s="34"/>
      <c r="M420" s="45"/>
      <c r="N420" s="34"/>
      <c r="O420" s="50"/>
    </row>
    <row r="421" ht="15.75" customHeight="1">
      <c r="A421" s="28"/>
      <c r="B421" s="28"/>
      <c r="C421" s="45"/>
      <c r="D421" s="50"/>
      <c r="E421" s="28"/>
      <c r="F421" s="28"/>
      <c r="G421" s="49"/>
      <c r="H421" s="49"/>
      <c r="I421" s="49"/>
      <c r="J421" s="49"/>
      <c r="K421" s="106"/>
      <c r="L421" s="34"/>
      <c r="M421" s="45"/>
      <c r="N421" s="34"/>
      <c r="O421" s="50"/>
    </row>
    <row r="422" ht="15.75" customHeight="1">
      <c r="G422" s="123"/>
      <c r="K422" s="123"/>
    </row>
    <row r="423" ht="15.75" customHeight="1">
      <c r="G423" s="123"/>
      <c r="K423" s="123"/>
    </row>
    <row r="424" ht="15.75" customHeight="1">
      <c r="G424" s="123"/>
      <c r="K424" s="123"/>
    </row>
    <row r="425" ht="15.75" customHeight="1">
      <c r="G425" s="123"/>
      <c r="K425" s="123"/>
    </row>
    <row r="426" ht="15.75" customHeight="1">
      <c r="G426" s="123"/>
      <c r="K426" s="123"/>
    </row>
    <row r="427" ht="15.75" customHeight="1">
      <c r="G427" s="123"/>
      <c r="K427" s="123"/>
    </row>
    <row r="428" ht="15.75" customHeight="1">
      <c r="G428" s="123"/>
      <c r="K428" s="123"/>
    </row>
    <row r="429" ht="15.75" customHeight="1">
      <c r="G429" s="123"/>
      <c r="K429" s="123"/>
    </row>
    <row r="430" ht="15.75" customHeight="1">
      <c r="G430" s="123"/>
      <c r="K430" s="123"/>
    </row>
    <row r="431" ht="15.75" customHeight="1">
      <c r="G431" s="123"/>
      <c r="K431" s="123"/>
    </row>
    <row r="432" ht="15.75" customHeight="1">
      <c r="G432" s="123"/>
      <c r="K432" s="123"/>
    </row>
    <row r="433" ht="15.75" customHeight="1">
      <c r="G433" s="123"/>
      <c r="K433" s="123"/>
    </row>
    <row r="434" ht="15.75" customHeight="1">
      <c r="G434" s="123"/>
      <c r="K434" s="123"/>
    </row>
    <row r="435" ht="15.75" customHeight="1">
      <c r="G435" s="123"/>
      <c r="K435" s="123"/>
    </row>
    <row r="436" ht="15.75" customHeight="1">
      <c r="G436" s="123"/>
      <c r="K436" s="123"/>
    </row>
    <row r="437" ht="15.75" customHeight="1">
      <c r="G437" s="123"/>
      <c r="K437" s="123"/>
    </row>
    <row r="438" ht="15.75" customHeight="1">
      <c r="G438" s="123"/>
      <c r="K438" s="123"/>
    </row>
    <row r="439" ht="15.75" customHeight="1">
      <c r="G439" s="123"/>
      <c r="K439" s="123"/>
    </row>
    <row r="440" ht="15.75" customHeight="1">
      <c r="G440" s="123"/>
      <c r="K440" s="123"/>
    </row>
    <row r="441" ht="15.75" customHeight="1">
      <c r="G441" s="123"/>
      <c r="K441" s="123"/>
    </row>
    <row r="442" ht="15.75" customHeight="1">
      <c r="G442" s="123"/>
      <c r="K442" s="123"/>
    </row>
    <row r="443" ht="15.75" customHeight="1">
      <c r="G443" s="123"/>
      <c r="K443" s="123"/>
    </row>
    <row r="444" ht="15.75" customHeight="1">
      <c r="G444" s="123"/>
      <c r="K444" s="123"/>
    </row>
    <row r="445" ht="15.75" customHeight="1">
      <c r="G445" s="123"/>
      <c r="K445" s="123"/>
    </row>
    <row r="446" ht="15.75" customHeight="1">
      <c r="G446" s="123"/>
      <c r="K446" s="123"/>
    </row>
    <row r="447" ht="15.75" customHeight="1">
      <c r="G447" s="123"/>
      <c r="K447" s="123"/>
    </row>
    <row r="448" ht="15.75" customHeight="1">
      <c r="G448" s="123"/>
      <c r="K448" s="123"/>
    </row>
    <row r="449" ht="15.75" customHeight="1">
      <c r="G449" s="123"/>
      <c r="K449" s="123"/>
    </row>
    <row r="450" ht="15.75" customHeight="1">
      <c r="G450" s="123"/>
      <c r="K450" s="123"/>
    </row>
    <row r="451" ht="15.75" customHeight="1">
      <c r="G451" s="123"/>
      <c r="K451" s="123"/>
    </row>
    <row r="452" ht="15.75" customHeight="1">
      <c r="G452" s="123"/>
      <c r="K452" s="123"/>
    </row>
    <row r="453" ht="15.75" customHeight="1">
      <c r="G453" s="123"/>
      <c r="K453" s="123"/>
    </row>
    <row r="454" ht="15.75" customHeight="1">
      <c r="G454" s="123"/>
      <c r="K454" s="123"/>
    </row>
    <row r="455" ht="15.75" customHeight="1">
      <c r="G455" s="123"/>
      <c r="K455" s="123"/>
    </row>
    <row r="456" ht="15.75" customHeight="1">
      <c r="G456" s="123"/>
      <c r="K456" s="123"/>
    </row>
    <row r="457" ht="15.75" customHeight="1">
      <c r="G457" s="123"/>
      <c r="K457" s="123"/>
    </row>
    <row r="458" ht="15.75" customHeight="1">
      <c r="G458" s="123"/>
      <c r="K458" s="123"/>
    </row>
    <row r="459" ht="15.75" customHeight="1">
      <c r="G459" s="123"/>
      <c r="K459" s="123"/>
    </row>
    <row r="460" ht="15.75" customHeight="1">
      <c r="G460" s="123"/>
      <c r="K460" s="123"/>
    </row>
    <row r="461" ht="15.75" customHeight="1">
      <c r="G461" s="123"/>
      <c r="K461" s="123"/>
    </row>
    <row r="462" ht="15.75" customHeight="1">
      <c r="G462" s="123"/>
      <c r="K462" s="123"/>
    </row>
    <row r="463" ht="15.75" customHeight="1">
      <c r="G463" s="123"/>
      <c r="K463" s="123"/>
    </row>
    <row r="464" ht="15.75" customHeight="1">
      <c r="G464" s="123"/>
      <c r="K464" s="123"/>
    </row>
    <row r="465" ht="15.75" customHeight="1">
      <c r="G465" s="123"/>
      <c r="K465" s="123"/>
    </row>
    <row r="466" ht="15.75" customHeight="1">
      <c r="G466" s="123"/>
      <c r="K466" s="123"/>
    </row>
    <row r="467" ht="15.75" customHeight="1">
      <c r="G467" s="123"/>
      <c r="K467" s="123"/>
    </row>
    <row r="468" ht="15.75" customHeight="1">
      <c r="G468" s="123"/>
      <c r="K468" s="123"/>
    </row>
    <row r="469" ht="15.75" customHeight="1">
      <c r="G469" s="123"/>
      <c r="K469" s="123"/>
    </row>
    <row r="470" ht="15.75" customHeight="1">
      <c r="G470" s="123"/>
      <c r="K470" s="123"/>
    </row>
    <row r="471" ht="15.75" customHeight="1">
      <c r="G471" s="123"/>
      <c r="K471" s="123"/>
    </row>
    <row r="472" ht="15.75" customHeight="1">
      <c r="G472" s="123"/>
      <c r="K472" s="123"/>
    </row>
    <row r="473" ht="15.75" customHeight="1">
      <c r="G473" s="123"/>
      <c r="K473" s="123"/>
    </row>
    <row r="474" ht="15.75" customHeight="1">
      <c r="G474" s="123"/>
      <c r="K474" s="123"/>
    </row>
    <row r="475" ht="15.75" customHeight="1">
      <c r="G475" s="123"/>
      <c r="K475" s="123"/>
    </row>
    <row r="476" ht="15.75" customHeight="1">
      <c r="G476" s="123"/>
      <c r="K476" s="123"/>
    </row>
    <row r="477" ht="15.75" customHeight="1">
      <c r="G477" s="123"/>
      <c r="K477" s="123"/>
    </row>
    <row r="478" ht="15.75" customHeight="1">
      <c r="G478" s="123"/>
      <c r="K478" s="123"/>
    </row>
    <row r="479" ht="15.75" customHeight="1">
      <c r="G479" s="123"/>
      <c r="K479" s="123"/>
    </row>
    <row r="480" ht="15.75" customHeight="1">
      <c r="G480" s="123"/>
      <c r="K480" s="123"/>
    </row>
    <row r="481" ht="15.75" customHeight="1">
      <c r="G481" s="123"/>
      <c r="K481" s="123"/>
    </row>
    <row r="482" ht="15.75" customHeight="1">
      <c r="G482" s="123"/>
      <c r="K482" s="123"/>
    </row>
    <row r="483" ht="15.75" customHeight="1">
      <c r="G483" s="123"/>
      <c r="K483" s="123"/>
    </row>
    <row r="484" ht="15.75" customHeight="1">
      <c r="G484" s="123"/>
      <c r="K484" s="123"/>
    </row>
    <row r="485" ht="15.75" customHeight="1">
      <c r="G485" s="123"/>
      <c r="K485" s="123"/>
    </row>
    <row r="486" ht="15.75" customHeight="1">
      <c r="G486" s="123"/>
      <c r="K486" s="123"/>
    </row>
    <row r="487" ht="15.75" customHeight="1">
      <c r="G487" s="123"/>
      <c r="K487" s="123"/>
    </row>
    <row r="488" ht="15.75" customHeight="1">
      <c r="G488" s="123"/>
      <c r="K488" s="123"/>
    </row>
    <row r="489" ht="15.75" customHeight="1">
      <c r="G489" s="123"/>
      <c r="K489" s="123"/>
    </row>
    <row r="490" ht="15.75" customHeight="1">
      <c r="G490" s="123"/>
      <c r="K490" s="123"/>
    </row>
    <row r="491" ht="15.75" customHeight="1">
      <c r="G491" s="123"/>
      <c r="K491" s="123"/>
    </row>
    <row r="492" ht="15.75" customHeight="1">
      <c r="G492" s="123"/>
      <c r="K492" s="123"/>
    </row>
    <row r="493" ht="15.75" customHeight="1">
      <c r="G493" s="123"/>
      <c r="K493" s="123"/>
    </row>
    <row r="494" ht="15.75" customHeight="1">
      <c r="G494" s="123"/>
      <c r="K494" s="123"/>
    </row>
    <row r="495" ht="15.75" customHeight="1">
      <c r="G495" s="123"/>
      <c r="K495" s="123"/>
    </row>
    <row r="496" ht="15.75" customHeight="1">
      <c r="G496" s="123"/>
      <c r="K496" s="123"/>
    </row>
    <row r="497" ht="15.75" customHeight="1">
      <c r="G497" s="123"/>
      <c r="K497" s="123"/>
    </row>
    <row r="498" ht="15.75" customHeight="1">
      <c r="G498" s="123"/>
      <c r="K498" s="123"/>
    </row>
    <row r="499" ht="15.75" customHeight="1">
      <c r="G499" s="123"/>
      <c r="K499" s="123"/>
    </row>
    <row r="500" ht="15.75" customHeight="1">
      <c r="G500" s="123"/>
      <c r="K500" s="123"/>
    </row>
    <row r="501" ht="15.75" customHeight="1">
      <c r="G501" s="123"/>
      <c r="K501" s="123"/>
    </row>
    <row r="502" ht="15.75" customHeight="1">
      <c r="G502" s="123"/>
      <c r="K502" s="123"/>
    </row>
    <row r="503" ht="15.75" customHeight="1">
      <c r="G503" s="123"/>
      <c r="K503" s="123"/>
    </row>
    <row r="504" ht="15.75" customHeight="1">
      <c r="G504" s="123"/>
      <c r="K504" s="123"/>
    </row>
    <row r="505" ht="15.75" customHeight="1">
      <c r="G505" s="123"/>
      <c r="K505" s="123"/>
    </row>
    <row r="506" ht="15.75" customHeight="1">
      <c r="G506" s="123"/>
      <c r="K506" s="123"/>
    </row>
    <row r="507" ht="15.75" customHeight="1">
      <c r="G507" s="123"/>
      <c r="K507" s="123"/>
    </row>
    <row r="508" ht="15.75" customHeight="1">
      <c r="G508" s="123"/>
      <c r="K508" s="123"/>
    </row>
    <row r="509" ht="15.75" customHeight="1">
      <c r="G509" s="123"/>
      <c r="K509" s="123"/>
    </row>
    <row r="510" ht="15.75" customHeight="1">
      <c r="G510" s="123"/>
      <c r="K510" s="123"/>
    </row>
    <row r="511" ht="15.75" customHeight="1">
      <c r="G511" s="123"/>
      <c r="K511" s="123"/>
    </row>
    <row r="512" ht="15.75" customHeight="1">
      <c r="G512" s="123"/>
      <c r="K512" s="123"/>
    </row>
    <row r="513" ht="15.75" customHeight="1">
      <c r="G513" s="123"/>
      <c r="K513" s="123"/>
    </row>
    <row r="514" ht="15.75" customHeight="1">
      <c r="G514" s="123"/>
      <c r="K514" s="123"/>
    </row>
    <row r="515" ht="15.75" customHeight="1">
      <c r="G515" s="123"/>
      <c r="K515" s="123"/>
    </row>
    <row r="516" ht="15.75" customHeight="1">
      <c r="G516" s="123"/>
      <c r="K516" s="123"/>
    </row>
    <row r="517" ht="15.75" customHeight="1">
      <c r="G517" s="123"/>
      <c r="K517" s="123"/>
    </row>
    <row r="518" ht="15.75" customHeight="1">
      <c r="G518" s="123"/>
      <c r="K518" s="123"/>
    </row>
    <row r="519" ht="15.75" customHeight="1">
      <c r="G519" s="123"/>
      <c r="K519" s="123"/>
    </row>
    <row r="520" ht="15.75" customHeight="1">
      <c r="G520" s="123"/>
      <c r="K520" s="123"/>
    </row>
    <row r="521" ht="15.75" customHeight="1">
      <c r="G521" s="123"/>
      <c r="K521" s="123"/>
    </row>
    <row r="522" ht="15.75" customHeight="1">
      <c r="G522" s="123"/>
      <c r="K522" s="123"/>
    </row>
    <row r="523" ht="15.75" customHeight="1">
      <c r="G523" s="123"/>
      <c r="K523" s="123"/>
    </row>
    <row r="524" ht="15.75" customHeight="1">
      <c r="G524" s="123"/>
      <c r="K524" s="123"/>
    </row>
    <row r="525" ht="15.75" customHeight="1">
      <c r="G525" s="123"/>
      <c r="K525" s="123"/>
    </row>
    <row r="526" ht="15.75" customHeight="1">
      <c r="G526" s="123"/>
      <c r="K526" s="123"/>
    </row>
    <row r="527" ht="15.75" customHeight="1">
      <c r="G527" s="123"/>
      <c r="K527" s="123"/>
    </row>
    <row r="528" ht="15.75" customHeight="1">
      <c r="G528" s="123"/>
      <c r="K528" s="123"/>
    </row>
    <row r="529" ht="15.75" customHeight="1">
      <c r="G529" s="123"/>
      <c r="K529" s="123"/>
    </row>
    <row r="530" ht="15.75" customHeight="1">
      <c r="G530" s="123"/>
      <c r="K530" s="123"/>
    </row>
    <row r="531" ht="15.75" customHeight="1">
      <c r="G531" s="123"/>
      <c r="K531" s="123"/>
    </row>
    <row r="532" ht="15.75" customHeight="1">
      <c r="G532" s="123"/>
      <c r="K532" s="123"/>
    </row>
    <row r="533" ht="15.75" customHeight="1">
      <c r="G533" s="123"/>
      <c r="K533" s="123"/>
    </row>
    <row r="534" ht="15.75" customHeight="1">
      <c r="G534" s="123"/>
      <c r="K534" s="123"/>
    </row>
    <row r="535" ht="15.75" customHeight="1">
      <c r="G535" s="123"/>
      <c r="K535" s="123"/>
    </row>
    <row r="536" ht="15.75" customHeight="1">
      <c r="G536" s="123"/>
      <c r="K536" s="123"/>
    </row>
    <row r="537" ht="15.75" customHeight="1">
      <c r="G537" s="123"/>
      <c r="K537" s="123"/>
    </row>
    <row r="538" ht="15.75" customHeight="1">
      <c r="G538" s="123"/>
      <c r="K538" s="123"/>
    </row>
    <row r="539" ht="15.75" customHeight="1">
      <c r="G539" s="123"/>
      <c r="K539" s="123"/>
    </row>
    <row r="540" ht="15.75" customHeight="1">
      <c r="G540" s="123"/>
      <c r="K540" s="123"/>
    </row>
    <row r="541" ht="15.75" customHeight="1">
      <c r="G541" s="123"/>
      <c r="K541" s="123"/>
    </row>
    <row r="542" ht="15.75" customHeight="1">
      <c r="G542" s="123"/>
      <c r="K542" s="123"/>
    </row>
    <row r="543" ht="15.75" customHeight="1">
      <c r="G543" s="123"/>
      <c r="K543" s="123"/>
    </row>
    <row r="544" ht="15.75" customHeight="1">
      <c r="G544" s="123"/>
      <c r="K544" s="123"/>
    </row>
    <row r="545" ht="15.75" customHeight="1">
      <c r="G545" s="123"/>
      <c r="K545" s="123"/>
    </row>
    <row r="546" ht="15.75" customHeight="1">
      <c r="G546" s="123"/>
      <c r="K546" s="123"/>
    </row>
    <row r="547" ht="15.75" customHeight="1">
      <c r="G547" s="123"/>
      <c r="K547" s="123"/>
    </row>
    <row r="548" ht="15.75" customHeight="1">
      <c r="G548" s="123"/>
      <c r="K548" s="123"/>
    </row>
    <row r="549" ht="15.75" customHeight="1">
      <c r="G549" s="123"/>
      <c r="K549" s="123"/>
    </row>
    <row r="550" ht="15.75" customHeight="1">
      <c r="G550" s="123"/>
      <c r="K550" s="123"/>
    </row>
    <row r="551" ht="15.75" customHeight="1">
      <c r="G551" s="123"/>
      <c r="K551" s="123"/>
    </row>
    <row r="552" ht="15.75" customHeight="1">
      <c r="G552" s="123"/>
      <c r="K552" s="123"/>
    </row>
    <row r="553" ht="15.75" customHeight="1">
      <c r="G553" s="123"/>
      <c r="K553" s="123"/>
    </row>
    <row r="554" ht="15.75" customHeight="1">
      <c r="G554" s="123"/>
      <c r="K554" s="123"/>
    </row>
    <row r="555" ht="15.75" customHeight="1">
      <c r="G555" s="123"/>
      <c r="K555" s="123"/>
    </row>
    <row r="556" ht="15.75" customHeight="1">
      <c r="G556" s="123"/>
      <c r="K556" s="123"/>
    </row>
    <row r="557" ht="15.75" customHeight="1">
      <c r="G557" s="123"/>
      <c r="K557" s="123"/>
    </row>
    <row r="558" ht="15.75" customHeight="1">
      <c r="G558" s="123"/>
      <c r="K558" s="123"/>
    </row>
    <row r="559" ht="15.75" customHeight="1">
      <c r="G559" s="123"/>
      <c r="K559" s="123"/>
    </row>
    <row r="560" ht="15.75" customHeight="1">
      <c r="G560" s="123"/>
      <c r="K560" s="123"/>
    </row>
    <row r="561" ht="15.75" customHeight="1">
      <c r="G561" s="123"/>
      <c r="K561" s="123"/>
    </row>
    <row r="562" ht="15.75" customHeight="1">
      <c r="G562" s="123"/>
      <c r="K562" s="123"/>
    </row>
    <row r="563" ht="15.75" customHeight="1">
      <c r="G563" s="123"/>
      <c r="K563" s="123"/>
    </row>
    <row r="564" ht="15.75" customHeight="1">
      <c r="G564" s="123"/>
      <c r="K564" s="123"/>
    </row>
    <row r="565" ht="15.75" customHeight="1">
      <c r="G565" s="123"/>
      <c r="K565" s="123"/>
    </row>
    <row r="566" ht="15.75" customHeight="1">
      <c r="G566" s="123"/>
      <c r="K566" s="123"/>
    </row>
    <row r="567" ht="15.75" customHeight="1">
      <c r="G567" s="123"/>
      <c r="K567" s="123"/>
    </row>
    <row r="568" ht="15.75" customHeight="1">
      <c r="G568" s="123"/>
      <c r="K568" s="123"/>
    </row>
    <row r="569" ht="15.75" customHeight="1">
      <c r="G569" s="123"/>
      <c r="K569" s="123"/>
    </row>
    <row r="570" ht="15.75" customHeight="1">
      <c r="G570" s="123"/>
      <c r="K570" s="123"/>
    </row>
    <row r="571" ht="15.75" customHeight="1">
      <c r="G571" s="123"/>
      <c r="K571" s="123"/>
    </row>
    <row r="572" ht="15.75" customHeight="1">
      <c r="G572" s="123"/>
      <c r="K572" s="123"/>
    </row>
    <row r="573" ht="15.75" customHeight="1">
      <c r="G573" s="123"/>
      <c r="K573" s="123"/>
    </row>
    <row r="574" ht="15.75" customHeight="1">
      <c r="G574" s="123"/>
      <c r="K574" s="123"/>
    </row>
    <row r="575" ht="15.75" customHeight="1">
      <c r="G575" s="123"/>
      <c r="K575" s="123"/>
    </row>
    <row r="576" ht="15.75" customHeight="1">
      <c r="G576" s="123"/>
      <c r="K576" s="123"/>
    </row>
    <row r="577" ht="15.75" customHeight="1">
      <c r="G577" s="123"/>
      <c r="K577" s="123"/>
    </row>
    <row r="578" ht="15.75" customHeight="1">
      <c r="G578" s="123"/>
      <c r="K578" s="123"/>
    </row>
    <row r="579" ht="15.75" customHeight="1">
      <c r="G579" s="123"/>
      <c r="K579" s="123"/>
    </row>
    <row r="580" ht="15.75" customHeight="1">
      <c r="G580" s="123"/>
      <c r="K580" s="123"/>
    </row>
    <row r="581" ht="15.75" customHeight="1">
      <c r="G581" s="123"/>
      <c r="K581" s="123"/>
    </row>
    <row r="582" ht="15.75" customHeight="1">
      <c r="G582" s="123"/>
      <c r="K582" s="123"/>
    </row>
    <row r="583" ht="15.75" customHeight="1">
      <c r="G583" s="123"/>
      <c r="K583" s="123"/>
    </row>
    <row r="584" ht="15.75" customHeight="1">
      <c r="G584" s="123"/>
      <c r="K584" s="123"/>
    </row>
    <row r="585" ht="15.75" customHeight="1">
      <c r="G585" s="123"/>
      <c r="K585" s="123"/>
    </row>
    <row r="586" ht="15.75" customHeight="1">
      <c r="G586" s="123"/>
      <c r="K586" s="123"/>
    </row>
    <row r="587" ht="15.75" customHeight="1">
      <c r="G587" s="123"/>
      <c r="K587" s="123"/>
    </row>
    <row r="588" ht="15.75" customHeight="1">
      <c r="G588" s="123"/>
      <c r="K588" s="123"/>
    </row>
    <row r="589" ht="15.75" customHeight="1">
      <c r="G589" s="123"/>
      <c r="K589" s="123"/>
    </row>
    <row r="590" ht="15.75" customHeight="1">
      <c r="G590" s="123"/>
      <c r="K590" s="123"/>
    </row>
    <row r="591" ht="15.75" customHeight="1">
      <c r="G591" s="123"/>
      <c r="K591" s="123"/>
    </row>
    <row r="592" ht="15.75" customHeight="1">
      <c r="G592" s="123"/>
      <c r="K592" s="123"/>
    </row>
    <row r="593" ht="15.75" customHeight="1">
      <c r="G593" s="123"/>
      <c r="K593" s="123"/>
    </row>
    <row r="594" ht="15.75" customHeight="1">
      <c r="G594" s="123"/>
      <c r="K594" s="123"/>
    </row>
    <row r="595" ht="15.75" customHeight="1">
      <c r="G595" s="123"/>
      <c r="K595" s="123"/>
    </row>
    <row r="596" ht="15.75" customHeight="1">
      <c r="G596" s="123"/>
      <c r="K596" s="123"/>
    </row>
    <row r="597" ht="15.75" customHeight="1">
      <c r="G597" s="123"/>
      <c r="K597" s="123"/>
    </row>
    <row r="598" ht="15.75" customHeight="1">
      <c r="G598" s="123"/>
      <c r="K598" s="123"/>
    </row>
    <row r="599" ht="15.75" customHeight="1">
      <c r="G599" s="123"/>
      <c r="K599" s="123"/>
    </row>
    <row r="600" ht="15.75" customHeight="1">
      <c r="G600" s="123"/>
      <c r="K600" s="123"/>
    </row>
    <row r="601" ht="15.75" customHeight="1">
      <c r="G601" s="123"/>
      <c r="K601" s="123"/>
    </row>
    <row r="602" ht="15.75" customHeight="1">
      <c r="G602" s="123"/>
      <c r="K602" s="123"/>
    </row>
    <row r="603" ht="15.75" customHeight="1">
      <c r="G603" s="123"/>
      <c r="K603" s="123"/>
    </row>
    <row r="604" ht="15.75" customHeight="1">
      <c r="G604" s="123"/>
      <c r="K604" s="123"/>
    </row>
    <row r="605" ht="15.75" customHeight="1">
      <c r="G605" s="123"/>
      <c r="K605" s="123"/>
    </row>
    <row r="606" ht="15.75" customHeight="1">
      <c r="G606" s="123"/>
      <c r="K606" s="123"/>
    </row>
    <row r="607" ht="15.75" customHeight="1">
      <c r="G607" s="123"/>
      <c r="K607" s="123"/>
    </row>
    <row r="608" ht="15.75" customHeight="1">
      <c r="G608" s="123"/>
      <c r="K608" s="123"/>
    </row>
    <row r="609" ht="15.75" customHeight="1">
      <c r="G609" s="123"/>
      <c r="K609" s="123"/>
    </row>
    <row r="610" ht="15.75" customHeight="1">
      <c r="G610" s="123"/>
      <c r="K610" s="123"/>
    </row>
    <row r="611" ht="15.75" customHeight="1">
      <c r="G611" s="123"/>
      <c r="K611" s="123"/>
    </row>
    <row r="612" ht="15.75" customHeight="1">
      <c r="G612" s="123"/>
      <c r="K612" s="123"/>
    </row>
    <row r="613" ht="15.75" customHeight="1">
      <c r="G613" s="123"/>
      <c r="K613" s="123"/>
    </row>
    <row r="614" ht="15.75" customHeight="1">
      <c r="G614" s="123"/>
      <c r="K614" s="123"/>
    </row>
    <row r="615" ht="15.75" customHeight="1">
      <c r="G615" s="123"/>
      <c r="K615" s="123"/>
    </row>
    <row r="616" ht="15.75" customHeight="1">
      <c r="G616" s="123"/>
      <c r="K616" s="123"/>
    </row>
    <row r="617" ht="15.75" customHeight="1">
      <c r="G617" s="123"/>
      <c r="K617" s="123"/>
    </row>
    <row r="618" ht="15.75" customHeight="1">
      <c r="G618" s="123"/>
      <c r="K618" s="123"/>
    </row>
    <row r="619" ht="15.75" customHeight="1">
      <c r="G619" s="123"/>
      <c r="K619" s="123"/>
    </row>
    <row r="620" ht="15.75" customHeight="1">
      <c r="G620" s="123"/>
      <c r="K620" s="123"/>
    </row>
    <row r="621" ht="15.75" customHeight="1">
      <c r="G621" s="123"/>
      <c r="K621" s="123"/>
    </row>
    <row r="622" ht="15.75" customHeight="1">
      <c r="G622" s="123"/>
      <c r="K622" s="123"/>
    </row>
    <row r="623" ht="15.75" customHeight="1">
      <c r="G623" s="123"/>
      <c r="K623" s="123"/>
    </row>
    <row r="624" ht="15.75" customHeight="1">
      <c r="G624" s="123"/>
      <c r="K624" s="123"/>
    </row>
    <row r="625" ht="15.75" customHeight="1">
      <c r="G625" s="123"/>
      <c r="K625" s="123"/>
    </row>
    <row r="626" ht="15.75" customHeight="1">
      <c r="G626" s="123"/>
      <c r="K626" s="123"/>
    </row>
    <row r="627" ht="15.75" customHeight="1">
      <c r="G627" s="123"/>
      <c r="K627" s="123"/>
    </row>
    <row r="628" ht="15.75" customHeight="1">
      <c r="G628" s="123"/>
      <c r="K628" s="123"/>
    </row>
    <row r="629" ht="15.75" customHeight="1">
      <c r="G629" s="123"/>
      <c r="K629" s="123"/>
    </row>
    <row r="630" ht="15.75" customHeight="1">
      <c r="G630" s="123"/>
      <c r="K630" s="123"/>
    </row>
    <row r="631" ht="15.75" customHeight="1">
      <c r="G631" s="123"/>
      <c r="K631" s="123"/>
    </row>
    <row r="632" ht="15.75" customHeight="1">
      <c r="G632" s="123"/>
      <c r="K632" s="123"/>
    </row>
    <row r="633" ht="15.75" customHeight="1">
      <c r="G633" s="123"/>
      <c r="K633" s="123"/>
    </row>
    <row r="634" ht="15.75" customHeight="1">
      <c r="G634" s="123"/>
      <c r="K634" s="123"/>
    </row>
    <row r="635" ht="15.75" customHeight="1">
      <c r="G635" s="123"/>
      <c r="K635" s="123"/>
    </row>
    <row r="636" ht="15.75" customHeight="1">
      <c r="G636" s="123"/>
      <c r="K636" s="123"/>
    </row>
    <row r="637" ht="15.75" customHeight="1">
      <c r="G637" s="123"/>
      <c r="K637" s="123"/>
    </row>
    <row r="638" ht="15.75" customHeight="1">
      <c r="G638" s="123"/>
      <c r="K638" s="123"/>
    </row>
    <row r="639" ht="15.75" customHeight="1">
      <c r="G639" s="123"/>
      <c r="K639" s="123"/>
    </row>
    <row r="640" ht="15.75" customHeight="1">
      <c r="G640" s="123"/>
      <c r="K640" s="123"/>
    </row>
    <row r="641" ht="15.75" customHeight="1">
      <c r="G641" s="123"/>
      <c r="K641" s="123"/>
    </row>
    <row r="642" ht="15.75" customHeight="1">
      <c r="G642" s="123"/>
      <c r="K642" s="123"/>
    </row>
    <row r="643" ht="15.75" customHeight="1">
      <c r="G643" s="123"/>
      <c r="K643" s="123"/>
    </row>
    <row r="644" ht="15.75" customHeight="1">
      <c r="G644" s="123"/>
      <c r="K644" s="123"/>
    </row>
    <row r="645" ht="15.75" customHeight="1">
      <c r="G645" s="123"/>
      <c r="K645" s="123"/>
    </row>
    <row r="646" ht="15.75" customHeight="1">
      <c r="G646" s="123"/>
      <c r="K646" s="123"/>
    </row>
    <row r="647" ht="15.75" customHeight="1">
      <c r="G647" s="123"/>
      <c r="K647" s="123"/>
    </row>
    <row r="648" ht="15.75" customHeight="1">
      <c r="G648" s="123"/>
      <c r="K648" s="123"/>
    </row>
    <row r="649" ht="15.75" customHeight="1">
      <c r="G649" s="123"/>
      <c r="K649" s="123"/>
    </row>
    <row r="650" ht="15.75" customHeight="1">
      <c r="G650" s="123"/>
      <c r="K650" s="123"/>
    </row>
    <row r="651" ht="15.75" customHeight="1">
      <c r="G651" s="123"/>
      <c r="K651" s="123"/>
    </row>
    <row r="652" ht="15.75" customHeight="1">
      <c r="G652" s="123"/>
      <c r="K652" s="123"/>
    </row>
    <row r="653" ht="15.75" customHeight="1">
      <c r="G653" s="123"/>
      <c r="K653" s="123"/>
    </row>
    <row r="654" ht="15.75" customHeight="1">
      <c r="G654" s="123"/>
      <c r="K654" s="123"/>
    </row>
    <row r="655" ht="15.75" customHeight="1">
      <c r="G655" s="123"/>
      <c r="K655" s="123"/>
    </row>
    <row r="656" ht="15.75" customHeight="1">
      <c r="G656" s="123"/>
      <c r="K656" s="123"/>
    </row>
    <row r="657" ht="15.75" customHeight="1">
      <c r="G657" s="123"/>
      <c r="K657" s="123"/>
    </row>
    <row r="658" ht="15.75" customHeight="1">
      <c r="G658" s="123"/>
      <c r="K658" s="123"/>
    </row>
    <row r="659" ht="15.75" customHeight="1">
      <c r="G659" s="123"/>
      <c r="K659" s="123"/>
    </row>
    <row r="660" ht="15.75" customHeight="1">
      <c r="G660" s="123"/>
      <c r="K660" s="123"/>
    </row>
    <row r="661" ht="15.75" customHeight="1">
      <c r="G661" s="123"/>
      <c r="K661" s="123"/>
    </row>
    <row r="662" ht="15.75" customHeight="1">
      <c r="G662" s="123"/>
      <c r="K662" s="123"/>
    </row>
    <row r="663" ht="15.75" customHeight="1">
      <c r="G663" s="123"/>
      <c r="K663" s="123"/>
    </row>
    <row r="664" ht="15.75" customHeight="1">
      <c r="G664" s="123"/>
      <c r="K664" s="123"/>
    </row>
    <row r="665" ht="15.75" customHeight="1">
      <c r="G665" s="123"/>
      <c r="K665" s="123"/>
    </row>
    <row r="666" ht="15.75" customHeight="1">
      <c r="G666" s="123"/>
      <c r="K666" s="123"/>
    </row>
    <row r="667" ht="15.75" customHeight="1">
      <c r="G667" s="123"/>
      <c r="K667" s="123"/>
    </row>
    <row r="668" ht="15.75" customHeight="1">
      <c r="G668" s="123"/>
      <c r="K668" s="123"/>
    </row>
    <row r="669" ht="15.75" customHeight="1">
      <c r="G669" s="123"/>
      <c r="K669" s="123"/>
    </row>
    <row r="670" ht="15.75" customHeight="1">
      <c r="G670" s="123"/>
      <c r="K670" s="123"/>
    </row>
    <row r="671" ht="15.75" customHeight="1">
      <c r="G671" s="123"/>
      <c r="K671" s="123"/>
    </row>
    <row r="672" ht="15.75" customHeight="1">
      <c r="G672" s="123"/>
      <c r="K672" s="123"/>
    </row>
    <row r="673" ht="15.75" customHeight="1">
      <c r="G673" s="123"/>
      <c r="K673" s="123"/>
    </row>
    <row r="674" ht="15.75" customHeight="1">
      <c r="G674" s="123"/>
      <c r="K674" s="123"/>
    </row>
    <row r="675" ht="15.75" customHeight="1">
      <c r="G675" s="123"/>
      <c r="K675" s="123"/>
    </row>
    <row r="676" ht="15.75" customHeight="1">
      <c r="G676" s="123"/>
      <c r="K676" s="123"/>
    </row>
    <row r="677" ht="15.75" customHeight="1">
      <c r="G677" s="123"/>
      <c r="K677" s="123"/>
    </row>
    <row r="678" ht="15.75" customHeight="1">
      <c r="G678" s="123"/>
      <c r="K678" s="123"/>
    </row>
    <row r="679" ht="15.75" customHeight="1">
      <c r="G679" s="123"/>
      <c r="K679" s="123"/>
    </row>
    <row r="680" ht="15.75" customHeight="1">
      <c r="G680" s="123"/>
      <c r="K680" s="123"/>
    </row>
    <row r="681" ht="15.75" customHeight="1">
      <c r="G681" s="123"/>
      <c r="K681" s="123"/>
    </row>
    <row r="682" ht="15.75" customHeight="1">
      <c r="G682" s="123"/>
      <c r="K682" s="123"/>
    </row>
    <row r="683" ht="15.75" customHeight="1">
      <c r="G683" s="123"/>
      <c r="K683" s="123"/>
    </row>
    <row r="684" ht="15.75" customHeight="1">
      <c r="G684" s="123"/>
      <c r="K684" s="123"/>
    </row>
    <row r="685" ht="15.75" customHeight="1">
      <c r="G685" s="123"/>
      <c r="K685" s="123"/>
    </row>
    <row r="686" ht="15.75" customHeight="1">
      <c r="G686" s="123"/>
      <c r="K686" s="123"/>
    </row>
    <row r="687" ht="15.75" customHeight="1">
      <c r="G687" s="123"/>
      <c r="K687" s="123"/>
    </row>
    <row r="688" ht="15.75" customHeight="1">
      <c r="G688" s="123"/>
      <c r="K688" s="123"/>
    </row>
    <row r="689" ht="15.75" customHeight="1">
      <c r="G689" s="123"/>
      <c r="K689" s="123"/>
    </row>
    <row r="690" ht="15.75" customHeight="1">
      <c r="G690" s="123"/>
      <c r="K690" s="123"/>
    </row>
    <row r="691" ht="15.75" customHeight="1">
      <c r="G691" s="123"/>
      <c r="K691" s="123"/>
    </row>
    <row r="692" ht="15.75" customHeight="1">
      <c r="G692" s="123"/>
      <c r="K692" s="123"/>
    </row>
    <row r="693" ht="15.75" customHeight="1">
      <c r="G693" s="123"/>
      <c r="K693" s="123"/>
    </row>
    <row r="694" ht="15.75" customHeight="1">
      <c r="G694" s="123"/>
      <c r="K694" s="123"/>
    </row>
    <row r="695" ht="15.75" customHeight="1">
      <c r="G695" s="123"/>
      <c r="K695" s="123"/>
    </row>
    <row r="696" ht="15.75" customHeight="1">
      <c r="G696" s="123"/>
      <c r="K696" s="123"/>
    </row>
    <row r="697" ht="15.75" customHeight="1">
      <c r="G697" s="123"/>
      <c r="K697" s="123"/>
    </row>
    <row r="698" ht="15.75" customHeight="1">
      <c r="G698" s="123"/>
      <c r="K698" s="123"/>
    </row>
    <row r="699" ht="15.75" customHeight="1">
      <c r="G699" s="123"/>
      <c r="K699" s="123"/>
    </row>
    <row r="700" ht="15.75" customHeight="1">
      <c r="G700" s="123"/>
      <c r="K700" s="123"/>
    </row>
    <row r="701" ht="15.75" customHeight="1">
      <c r="G701" s="123"/>
      <c r="K701" s="123"/>
    </row>
    <row r="702" ht="15.75" customHeight="1">
      <c r="G702" s="123"/>
      <c r="K702" s="123"/>
    </row>
    <row r="703" ht="15.75" customHeight="1">
      <c r="G703" s="123"/>
      <c r="K703" s="123"/>
    </row>
    <row r="704" ht="15.75" customHeight="1">
      <c r="G704" s="123"/>
      <c r="K704" s="123"/>
    </row>
    <row r="705" ht="15.75" customHeight="1">
      <c r="G705" s="123"/>
      <c r="K705" s="123"/>
    </row>
    <row r="706" ht="15.75" customHeight="1">
      <c r="G706" s="123"/>
      <c r="K706" s="123"/>
    </row>
    <row r="707" ht="15.75" customHeight="1">
      <c r="G707" s="123"/>
      <c r="K707" s="123"/>
    </row>
    <row r="708" ht="15.75" customHeight="1">
      <c r="G708" s="123"/>
      <c r="K708" s="123"/>
    </row>
    <row r="709" ht="15.75" customHeight="1">
      <c r="G709" s="123"/>
      <c r="K709" s="123"/>
    </row>
    <row r="710" ht="15.75" customHeight="1">
      <c r="G710" s="123"/>
      <c r="K710" s="123"/>
    </row>
    <row r="711" ht="15.75" customHeight="1">
      <c r="G711" s="123"/>
      <c r="K711" s="123"/>
    </row>
    <row r="712" ht="15.75" customHeight="1">
      <c r="G712" s="123"/>
      <c r="K712" s="123"/>
    </row>
    <row r="713" ht="15.75" customHeight="1">
      <c r="G713" s="123"/>
      <c r="K713" s="123"/>
    </row>
    <row r="714" ht="15.75" customHeight="1">
      <c r="G714" s="123"/>
      <c r="K714" s="123"/>
    </row>
    <row r="715" ht="15.75" customHeight="1">
      <c r="G715" s="123"/>
      <c r="K715" s="123"/>
    </row>
    <row r="716" ht="15.75" customHeight="1">
      <c r="G716" s="123"/>
      <c r="K716" s="123"/>
    </row>
    <row r="717" ht="15.75" customHeight="1">
      <c r="G717" s="123"/>
      <c r="K717" s="123"/>
    </row>
    <row r="718" ht="15.75" customHeight="1">
      <c r="G718" s="123"/>
      <c r="K718" s="123"/>
    </row>
    <row r="719" ht="15.75" customHeight="1">
      <c r="G719" s="123"/>
      <c r="K719" s="123"/>
    </row>
    <row r="720" ht="15.75" customHeight="1">
      <c r="G720" s="123"/>
      <c r="K720" s="123"/>
    </row>
    <row r="721" ht="15.75" customHeight="1">
      <c r="G721" s="123"/>
      <c r="K721" s="123"/>
    </row>
    <row r="722" ht="15.75" customHeight="1">
      <c r="G722" s="123"/>
      <c r="K722" s="123"/>
    </row>
    <row r="723" ht="15.75" customHeight="1">
      <c r="G723" s="123"/>
      <c r="K723" s="123"/>
    </row>
    <row r="724" ht="15.75" customHeight="1">
      <c r="G724" s="123"/>
      <c r="K724" s="123"/>
    </row>
    <row r="725" ht="15.75" customHeight="1">
      <c r="G725" s="123"/>
      <c r="K725" s="123"/>
    </row>
    <row r="726" ht="15.75" customHeight="1">
      <c r="G726" s="123"/>
      <c r="K726" s="123"/>
    </row>
    <row r="727" ht="15.75" customHeight="1">
      <c r="G727" s="123"/>
      <c r="K727" s="123"/>
    </row>
    <row r="728" ht="15.75" customHeight="1">
      <c r="G728" s="123"/>
      <c r="K728" s="123"/>
    </row>
    <row r="729" ht="15.75" customHeight="1">
      <c r="G729" s="123"/>
      <c r="K729" s="123"/>
    </row>
    <row r="730" ht="15.75" customHeight="1">
      <c r="G730" s="123"/>
      <c r="K730" s="123"/>
    </row>
    <row r="731" ht="15.75" customHeight="1">
      <c r="G731" s="123"/>
      <c r="K731" s="123"/>
    </row>
    <row r="732" ht="15.75" customHeight="1">
      <c r="G732" s="123"/>
      <c r="K732" s="123"/>
    </row>
    <row r="733" ht="15.75" customHeight="1">
      <c r="G733" s="123"/>
      <c r="K733" s="123"/>
    </row>
    <row r="734" ht="15.75" customHeight="1">
      <c r="G734" s="123"/>
      <c r="K734" s="123"/>
    </row>
    <row r="735" ht="15.75" customHeight="1">
      <c r="G735" s="123"/>
      <c r="K735" s="123"/>
    </row>
    <row r="736" ht="15.75" customHeight="1">
      <c r="G736" s="123"/>
      <c r="K736" s="123"/>
    </row>
    <row r="737" ht="15.75" customHeight="1">
      <c r="G737" s="123"/>
      <c r="K737" s="123"/>
    </row>
    <row r="738" ht="15.75" customHeight="1">
      <c r="G738" s="123"/>
      <c r="K738" s="123"/>
    </row>
    <row r="739" ht="15.75" customHeight="1">
      <c r="G739" s="123"/>
      <c r="K739" s="123"/>
    </row>
    <row r="740" ht="15.75" customHeight="1">
      <c r="G740" s="123"/>
      <c r="K740" s="123"/>
    </row>
    <row r="741" ht="15.75" customHeight="1">
      <c r="G741" s="123"/>
      <c r="K741" s="123"/>
    </row>
    <row r="742" ht="15.75" customHeight="1">
      <c r="G742" s="123"/>
      <c r="K742" s="123"/>
    </row>
    <row r="743" ht="15.75" customHeight="1">
      <c r="G743" s="123"/>
      <c r="K743" s="123"/>
    </row>
    <row r="744" ht="15.75" customHeight="1">
      <c r="G744" s="123"/>
      <c r="K744" s="123"/>
    </row>
    <row r="745" ht="15.75" customHeight="1">
      <c r="G745" s="123"/>
      <c r="K745" s="123"/>
    </row>
    <row r="746" ht="15.75" customHeight="1">
      <c r="G746" s="123"/>
      <c r="K746" s="123"/>
    </row>
    <row r="747" ht="15.75" customHeight="1">
      <c r="G747" s="123"/>
      <c r="K747" s="123"/>
    </row>
    <row r="748" ht="15.75" customHeight="1">
      <c r="G748" s="123"/>
      <c r="K748" s="123"/>
    </row>
    <row r="749" ht="15.75" customHeight="1">
      <c r="G749" s="123"/>
      <c r="K749" s="123"/>
    </row>
    <row r="750" ht="15.75" customHeight="1">
      <c r="G750" s="123"/>
      <c r="K750" s="123"/>
    </row>
    <row r="751" ht="15.75" customHeight="1">
      <c r="G751" s="123"/>
      <c r="K751" s="123"/>
    </row>
    <row r="752" ht="15.75" customHeight="1">
      <c r="G752" s="123"/>
      <c r="K752" s="123"/>
    </row>
    <row r="753" ht="15.75" customHeight="1">
      <c r="G753" s="123"/>
      <c r="K753" s="123"/>
    </row>
    <row r="754" ht="15.75" customHeight="1">
      <c r="G754" s="123"/>
      <c r="K754" s="123"/>
    </row>
    <row r="755" ht="15.75" customHeight="1">
      <c r="G755" s="123"/>
      <c r="K755" s="123"/>
    </row>
    <row r="756" ht="15.75" customHeight="1">
      <c r="G756" s="123"/>
      <c r="K756" s="123"/>
    </row>
    <row r="757" ht="15.75" customHeight="1">
      <c r="G757" s="123"/>
      <c r="K757" s="123"/>
    </row>
    <row r="758" ht="15.75" customHeight="1">
      <c r="G758" s="123"/>
      <c r="K758" s="123"/>
    </row>
    <row r="759" ht="15.75" customHeight="1">
      <c r="G759" s="123"/>
      <c r="K759" s="123"/>
    </row>
    <row r="760" ht="15.75" customHeight="1">
      <c r="G760" s="123"/>
      <c r="K760" s="123"/>
    </row>
    <row r="761" ht="15.75" customHeight="1">
      <c r="G761" s="123"/>
      <c r="K761" s="123"/>
    </row>
    <row r="762" ht="15.75" customHeight="1">
      <c r="G762" s="123"/>
      <c r="K762" s="123"/>
    </row>
    <row r="763" ht="15.75" customHeight="1">
      <c r="G763" s="123"/>
      <c r="K763" s="123"/>
    </row>
    <row r="764" ht="15.75" customHeight="1">
      <c r="G764" s="123"/>
      <c r="K764" s="123"/>
    </row>
    <row r="765" ht="15.75" customHeight="1">
      <c r="G765" s="123"/>
      <c r="K765" s="123"/>
    </row>
    <row r="766" ht="15.75" customHeight="1">
      <c r="G766" s="123"/>
      <c r="K766" s="123"/>
    </row>
    <row r="767" ht="15.75" customHeight="1">
      <c r="G767" s="123"/>
      <c r="K767" s="123"/>
    </row>
    <row r="768" ht="15.75" customHeight="1">
      <c r="G768" s="123"/>
      <c r="K768" s="123"/>
    </row>
    <row r="769" ht="15.75" customHeight="1">
      <c r="G769" s="123"/>
      <c r="K769" s="123"/>
    </row>
    <row r="770" ht="15.75" customHeight="1">
      <c r="G770" s="123"/>
      <c r="K770" s="123"/>
    </row>
    <row r="771" ht="15.75" customHeight="1">
      <c r="G771" s="123"/>
      <c r="K771" s="123"/>
    </row>
    <row r="772" ht="15.75" customHeight="1">
      <c r="G772" s="123"/>
      <c r="K772" s="123"/>
    </row>
    <row r="773" ht="15.75" customHeight="1">
      <c r="G773" s="123"/>
      <c r="K773" s="123"/>
    </row>
    <row r="774" ht="15.75" customHeight="1">
      <c r="G774" s="123"/>
      <c r="K774" s="123"/>
    </row>
    <row r="775" ht="15.75" customHeight="1">
      <c r="G775" s="123"/>
      <c r="K775" s="123"/>
    </row>
    <row r="776" ht="15.75" customHeight="1">
      <c r="G776" s="123"/>
      <c r="K776" s="123"/>
    </row>
    <row r="777" ht="15.75" customHeight="1">
      <c r="G777" s="123"/>
      <c r="K777" s="123"/>
    </row>
    <row r="778" ht="15.75" customHeight="1">
      <c r="G778" s="123"/>
      <c r="K778" s="123"/>
    </row>
    <row r="779" ht="15.75" customHeight="1">
      <c r="G779" s="123"/>
      <c r="K779" s="123"/>
    </row>
    <row r="780" ht="15.75" customHeight="1">
      <c r="G780" s="123"/>
      <c r="K780" s="123"/>
    </row>
    <row r="781" ht="15.75" customHeight="1">
      <c r="G781" s="123"/>
      <c r="K781" s="123"/>
    </row>
    <row r="782" ht="15.75" customHeight="1">
      <c r="G782" s="123"/>
      <c r="K782" s="123"/>
    </row>
    <row r="783" ht="15.75" customHeight="1">
      <c r="G783" s="123"/>
      <c r="K783" s="123"/>
    </row>
    <row r="784" ht="15.75" customHeight="1">
      <c r="G784" s="123"/>
      <c r="K784" s="123"/>
    </row>
    <row r="785" ht="15.75" customHeight="1">
      <c r="G785" s="123"/>
      <c r="K785" s="123"/>
    </row>
    <row r="786" ht="15.75" customHeight="1">
      <c r="G786" s="123"/>
      <c r="K786" s="123"/>
    </row>
    <row r="787" ht="15.75" customHeight="1">
      <c r="G787" s="123"/>
      <c r="K787" s="123"/>
    </row>
    <row r="788" ht="15.75" customHeight="1">
      <c r="G788" s="123"/>
      <c r="K788" s="123"/>
    </row>
    <row r="789" ht="15.75" customHeight="1">
      <c r="G789" s="123"/>
      <c r="K789" s="123"/>
    </row>
    <row r="790" ht="15.75" customHeight="1">
      <c r="G790" s="123"/>
      <c r="K790" s="123"/>
    </row>
    <row r="791" ht="15.75" customHeight="1">
      <c r="G791" s="123"/>
      <c r="K791" s="123"/>
    </row>
    <row r="792" ht="15.75" customHeight="1">
      <c r="G792" s="123"/>
      <c r="K792" s="123"/>
    </row>
    <row r="793" ht="15.75" customHeight="1">
      <c r="G793" s="123"/>
      <c r="K793" s="123"/>
    </row>
    <row r="794" ht="15.75" customHeight="1">
      <c r="G794" s="123"/>
      <c r="K794" s="123"/>
    </row>
    <row r="795" ht="15.75" customHeight="1">
      <c r="G795" s="123"/>
      <c r="K795" s="123"/>
    </row>
    <row r="796" ht="15.75" customHeight="1">
      <c r="G796" s="123"/>
      <c r="K796" s="123"/>
    </row>
    <row r="797" ht="15.75" customHeight="1">
      <c r="G797" s="123"/>
      <c r="K797" s="123"/>
    </row>
    <row r="798" ht="15.75" customHeight="1">
      <c r="G798" s="123"/>
      <c r="K798" s="123"/>
    </row>
    <row r="799" ht="15.75" customHeight="1">
      <c r="G799" s="123"/>
      <c r="K799" s="123"/>
    </row>
    <row r="800" ht="15.75" customHeight="1">
      <c r="G800" s="123"/>
      <c r="K800" s="123"/>
    </row>
    <row r="801" ht="15.75" customHeight="1">
      <c r="G801" s="123"/>
      <c r="K801" s="123"/>
    </row>
    <row r="802" ht="15.75" customHeight="1">
      <c r="G802" s="123"/>
      <c r="K802" s="123"/>
    </row>
    <row r="803" ht="15.75" customHeight="1">
      <c r="G803" s="123"/>
      <c r="K803" s="123"/>
    </row>
    <row r="804" ht="15.75" customHeight="1">
      <c r="G804" s="123"/>
      <c r="K804" s="123"/>
    </row>
    <row r="805" ht="15.75" customHeight="1">
      <c r="G805" s="123"/>
      <c r="K805" s="123"/>
    </row>
    <row r="806" ht="15.75" customHeight="1">
      <c r="G806" s="123"/>
      <c r="K806" s="123"/>
    </row>
    <row r="807" ht="15.75" customHeight="1">
      <c r="G807" s="123"/>
      <c r="K807" s="123"/>
    </row>
    <row r="808" ht="15.75" customHeight="1">
      <c r="G808" s="123"/>
      <c r="K808" s="123"/>
    </row>
    <row r="809" ht="15.75" customHeight="1">
      <c r="G809" s="123"/>
      <c r="K809" s="123"/>
    </row>
    <row r="810" ht="15.75" customHeight="1">
      <c r="G810" s="123"/>
      <c r="K810" s="123"/>
    </row>
    <row r="811" ht="15.75" customHeight="1">
      <c r="G811" s="123"/>
      <c r="K811" s="123"/>
    </row>
    <row r="812" ht="15.75" customHeight="1">
      <c r="G812" s="123"/>
      <c r="K812" s="123"/>
    </row>
    <row r="813" ht="15.75" customHeight="1">
      <c r="G813" s="123"/>
      <c r="K813" s="123"/>
    </row>
    <row r="814" ht="15.75" customHeight="1">
      <c r="G814" s="123"/>
      <c r="K814" s="123"/>
    </row>
    <row r="815" ht="15.75" customHeight="1">
      <c r="G815" s="123"/>
      <c r="K815" s="123"/>
    </row>
    <row r="816" ht="15.75" customHeight="1">
      <c r="G816" s="123"/>
      <c r="K816" s="123"/>
    </row>
    <row r="817" ht="15.75" customHeight="1">
      <c r="G817" s="123"/>
      <c r="K817" s="123"/>
    </row>
    <row r="818" ht="15.75" customHeight="1">
      <c r="G818" s="123"/>
      <c r="K818" s="123"/>
    </row>
    <row r="819" ht="15.75" customHeight="1">
      <c r="G819" s="123"/>
      <c r="K819" s="123"/>
    </row>
    <row r="820" ht="15.75" customHeight="1">
      <c r="G820" s="123"/>
      <c r="K820" s="123"/>
    </row>
    <row r="821" ht="15.75" customHeight="1">
      <c r="G821" s="123"/>
      <c r="K821" s="123"/>
    </row>
    <row r="822" ht="15.75" customHeight="1">
      <c r="G822" s="123"/>
      <c r="K822" s="123"/>
    </row>
    <row r="823" ht="15.75" customHeight="1">
      <c r="G823" s="123"/>
      <c r="K823" s="123"/>
    </row>
    <row r="824" ht="15.75" customHeight="1">
      <c r="G824" s="123"/>
      <c r="K824" s="123"/>
    </row>
    <row r="825" ht="15.75" customHeight="1">
      <c r="G825" s="123"/>
      <c r="K825" s="123"/>
    </row>
    <row r="826" ht="15.75" customHeight="1">
      <c r="G826" s="123"/>
      <c r="K826" s="123"/>
    </row>
    <row r="827" ht="15.75" customHeight="1">
      <c r="G827" s="123"/>
      <c r="K827" s="123"/>
    </row>
    <row r="828" ht="15.75" customHeight="1">
      <c r="G828" s="123"/>
      <c r="K828" s="123"/>
    </row>
    <row r="829" ht="15.75" customHeight="1">
      <c r="G829" s="123"/>
      <c r="K829" s="123"/>
    </row>
    <row r="830" ht="15.75" customHeight="1">
      <c r="G830" s="123"/>
      <c r="K830" s="123"/>
    </row>
    <row r="831" ht="15.75" customHeight="1">
      <c r="G831" s="123"/>
      <c r="K831" s="123"/>
    </row>
    <row r="832" ht="15.75" customHeight="1">
      <c r="G832" s="123"/>
      <c r="K832" s="123"/>
    </row>
    <row r="833" ht="15.75" customHeight="1">
      <c r="G833" s="123"/>
      <c r="K833" s="123"/>
    </row>
    <row r="834" ht="15.75" customHeight="1">
      <c r="G834" s="123"/>
      <c r="K834" s="123"/>
    </row>
    <row r="835" ht="15.75" customHeight="1">
      <c r="G835" s="123"/>
      <c r="K835" s="123"/>
    </row>
    <row r="836" ht="15.75" customHeight="1">
      <c r="G836" s="123"/>
      <c r="K836" s="123"/>
    </row>
    <row r="837" ht="15.75" customHeight="1">
      <c r="G837" s="123"/>
      <c r="K837" s="123"/>
    </row>
    <row r="838" ht="15.75" customHeight="1">
      <c r="G838" s="123"/>
      <c r="K838" s="123"/>
    </row>
    <row r="839" ht="15.75" customHeight="1">
      <c r="G839" s="123"/>
      <c r="K839" s="123"/>
    </row>
    <row r="840" ht="15.75" customHeight="1">
      <c r="G840" s="123"/>
      <c r="K840" s="123"/>
    </row>
    <row r="841" ht="15.75" customHeight="1">
      <c r="G841" s="123"/>
      <c r="K841" s="123"/>
    </row>
    <row r="842" ht="15.75" customHeight="1">
      <c r="G842" s="123"/>
      <c r="K842" s="123"/>
    </row>
    <row r="843" ht="15.75" customHeight="1">
      <c r="G843" s="123"/>
      <c r="K843" s="123"/>
    </row>
    <row r="844" ht="15.75" customHeight="1">
      <c r="G844" s="123"/>
      <c r="K844" s="123"/>
    </row>
    <row r="845" ht="15.75" customHeight="1">
      <c r="G845" s="123"/>
      <c r="K845" s="123"/>
    </row>
    <row r="846" ht="15.75" customHeight="1">
      <c r="G846" s="123"/>
      <c r="K846" s="123"/>
    </row>
    <row r="847" ht="15.75" customHeight="1">
      <c r="G847" s="123"/>
      <c r="K847" s="123"/>
    </row>
    <row r="848" ht="15.75" customHeight="1">
      <c r="G848" s="123"/>
      <c r="K848" s="123"/>
    </row>
    <row r="849" ht="15.75" customHeight="1">
      <c r="G849" s="123"/>
      <c r="K849" s="123"/>
    </row>
    <row r="850" ht="15.75" customHeight="1">
      <c r="G850" s="123"/>
      <c r="K850" s="123"/>
    </row>
    <row r="851" ht="15.75" customHeight="1">
      <c r="G851" s="123"/>
      <c r="K851" s="123"/>
    </row>
    <row r="852" ht="15.75" customHeight="1">
      <c r="G852" s="123"/>
      <c r="K852" s="123"/>
    </row>
    <row r="853" ht="15.75" customHeight="1">
      <c r="G853" s="123"/>
      <c r="K853" s="123"/>
    </row>
    <row r="854" ht="15.75" customHeight="1">
      <c r="G854" s="123"/>
      <c r="K854" s="123"/>
    </row>
    <row r="855" ht="15.75" customHeight="1">
      <c r="G855" s="123"/>
      <c r="K855" s="123"/>
    </row>
    <row r="856" ht="15.75" customHeight="1">
      <c r="G856" s="123"/>
      <c r="K856" s="123"/>
    </row>
    <row r="857" ht="15.75" customHeight="1">
      <c r="G857" s="123"/>
      <c r="K857" s="123"/>
    </row>
    <row r="858" ht="15.75" customHeight="1">
      <c r="G858" s="123"/>
      <c r="K858" s="123"/>
    </row>
    <row r="859" ht="15.75" customHeight="1">
      <c r="G859" s="123"/>
      <c r="K859" s="123"/>
    </row>
    <row r="860" ht="15.75" customHeight="1">
      <c r="G860" s="123"/>
      <c r="K860" s="123"/>
    </row>
    <row r="861" ht="15.75" customHeight="1">
      <c r="G861" s="123"/>
      <c r="K861" s="123"/>
    </row>
    <row r="862" ht="15.75" customHeight="1">
      <c r="G862" s="123"/>
      <c r="K862" s="123"/>
    </row>
    <row r="863" ht="15.75" customHeight="1">
      <c r="G863" s="123"/>
      <c r="K863" s="123"/>
    </row>
    <row r="864" ht="15.75" customHeight="1">
      <c r="G864" s="123"/>
      <c r="K864" s="123"/>
    </row>
    <row r="865" ht="15.75" customHeight="1">
      <c r="G865" s="123"/>
      <c r="K865" s="123"/>
    </row>
    <row r="866" ht="15.75" customHeight="1">
      <c r="G866" s="123"/>
      <c r="K866" s="123"/>
    </row>
    <row r="867" ht="15.75" customHeight="1">
      <c r="G867" s="123"/>
      <c r="K867" s="123"/>
    </row>
    <row r="868" ht="15.75" customHeight="1">
      <c r="G868" s="123"/>
      <c r="K868" s="123"/>
    </row>
    <row r="869" ht="15.75" customHeight="1">
      <c r="G869" s="123"/>
      <c r="K869" s="123"/>
    </row>
    <row r="870" ht="15.75" customHeight="1">
      <c r="G870" s="123"/>
      <c r="K870" s="123"/>
    </row>
    <row r="871" ht="15.75" customHeight="1">
      <c r="G871" s="123"/>
      <c r="K871" s="123"/>
    </row>
    <row r="872" ht="15.75" customHeight="1">
      <c r="G872" s="123"/>
      <c r="K872" s="123"/>
    </row>
    <row r="873" ht="15.75" customHeight="1">
      <c r="G873" s="123"/>
      <c r="K873" s="123"/>
    </row>
    <row r="874" ht="15.75" customHeight="1">
      <c r="G874" s="123"/>
      <c r="K874" s="123"/>
    </row>
    <row r="875" ht="15.75" customHeight="1">
      <c r="G875" s="123"/>
      <c r="K875" s="123"/>
    </row>
    <row r="876" ht="15.75" customHeight="1">
      <c r="G876" s="123"/>
      <c r="K876" s="123"/>
    </row>
    <row r="877" ht="15.75" customHeight="1">
      <c r="G877" s="123"/>
      <c r="K877" s="123"/>
    </row>
    <row r="878" ht="15.75" customHeight="1">
      <c r="G878" s="123"/>
      <c r="K878" s="123"/>
    </row>
    <row r="879" ht="15.75" customHeight="1">
      <c r="G879" s="123"/>
      <c r="K879" s="123"/>
    </row>
    <row r="880" ht="15.75" customHeight="1">
      <c r="G880" s="123"/>
      <c r="K880" s="123"/>
    </row>
    <row r="881" ht="15.75" customHeight="1">
      <c r="G881" s="123"/>
      <c r="K881" s="123"/>
    </row>
    <row r="882" ht="15.75" customHeight="1">
      <c r="G882" s="123"/>
      <c r="K882" s="123"/>
    </row>
    <row r="883" ht="15.75" customHeight="1">
      <c r="G883" s="123"/>
      <c r="K883" s="123"/>
    </row>
    <row r="884" ht="15.75" customHeight="1">
      <c r="G884" s="123"/>
      <c r="K884" s="123"/>
    </row>
    <row r="885" ht="15.75" customHeight="1">
      <c r="G885" s="123"/>
      <c r="K885" s="123"/>
    </row>
    <row r="886" ht="15.75" customHeight="1">
      <c r="G886" s="123"/>
      <c r="K886" s="123"/>
    </row>
    <row r="887" ht="15.75" customHeight="1">
      <c r="G887" s="123"/>
      <c r="K887" s="123"/>
    </row>
    <row r="888" ht="15.75" customHeight="1">
      <c r="G888" s="123"/>
      <c r="K888" s="123"/>
    </row>
    <row r="889" ht="15.75" customHeight="1">
      <c r="G889" s="123"/>
      <c r="K889" s="123"/>
    </row>
    <row r="890" ht="15.75" customHeight="1">
      <c r="G890" s="123"/>
      <c r="K890" s="123"/>
    </row>
    <row r="891" ht="15.75" customHeight="1">
      <c r="G891" s="123"/>
      <c r="K891" s="123"/>
    </row>
    <row r="892" ht="15.75" customHeight="1">
      <c r="G892" s="123"/>
      <c r="K892" s="123"/>
    </row>
    <row r="893" ht="15.75" customHeight="1">
      <c r="G893" s="123"/>
      <c r="K893" s="123"/>
    </row>
    <row r="894" ht="15.75" customHeight="1">
      <c r="G894" s="123"/>
      <c r="K894" s="123"/>
    </row>
    <row r="895" ht="15.75" customHeight="1">
      <c r="G895" s="123"/>
      <c r="K895" s="123"/>
    </row>
    <row r="896" ht="15.75" customHeight="1">
      <c r="G896" s="123"/>
      <c r="K896" s="123"/>
    </row>
    <row r="897" ht="15.75" customHeight="1">
      <c r="G897" s="123"/>
      <c r="K897" s="123"/>
    </row>
    <row r="898" ht="15.75" customHeight="1">
      <c r="G898" s="123"/>
      <c r="K898" s="123"/>
    </row>
    <row r="899" ht="15.75" customHeight="1">
      <c r="G899" s="123"/>
      <c r="K899" s="123"/>
    </row>
    <row r="900" ht="15.75" customHeight="1">
      <c r="G900" s="123"/>
      <c r="K900" s="123"/>
    </row>
    <row r="901" ht="15.75" customHeight="1">
      <c r="G901" s="123"/>
      <c r="K901" s="123"/>
    </row>
    <row r="902" ht="15.75" customHeight="1">
      <c r="G902" s="123"/>
      <c r="K902" s="123"/>
    </row>
    <row r="903" ht="15.75" customHeight="1">
      <c r="G903" s="123"/>
      <c r="K903" s="123"/>
    </row>
    <row r="904" ht="15.75" customHeight="1">
      <c r="G904" s="123"/>
      <c r="K904" s="123"/>
    </row>
    <row r="905" ht="15.75" customHeight="1">
      <c r="G905" s="123"/>
      <c r="K905" s="123"/>
    </row>
    <row r="906" ht="15.75" customHeight="1">
      <c r="G906" s="123"/>
      <c r="K906" s="123"/>
    </row>
    <row r="907" ht="15.75" customHeight="1">
      <c r="G907" s="123"/>
      <c r="K907" s="123"/>
    </row>
    <row r="908" ht="15.75" customHeight="1">
      <c r="G908" s="123"/>
      <c r="K908" s="123"/>
    </row>
    <row r="909" ht="15.75" customHeight="1">
      <c r="G909" s="123"/>
      <c r="K909" s="123"/>
    </row>
    <row r="910" ht="15.75" customHeight="1">
      <c r="G910" s="123"/>
      <c r="K910" s="123"/>
    </row>
    <row r="911" ht="15.75" customHeight="1">
      <c r="G911" s="123"/>
      <c r="K911" s="123"/>
    </row>
    <row r="912" ht="15.75" customHeight="1">
      <c r="G912" s="123"/>
      <c r="K912" s="123"/>
    </row>
    <row r="913" ht="15.75" customHeight="1">
      <c r="G913" s="123"/>
      <c r="K913" s="123"/>
    </row>
    <row r="914" ht="15.75" customHeight="1">
      <c r="G914" s="123"/>
      <c r="K914" s="123"/>
    </row>
    <row r="915" ht="15.75" customHeight="1">
      <c r="G915" s="123"/>
      <c r="K915" s="123"/>
    </row>
    <row r="916" ht="15.75" customHeight="1">
      <c r="G916" s="123"/>
      <c r="K916" s="123"/>
    </row>
    <row r="917" ht="15.75" customHeight="1">
      <c r="G917" s="123"/>
      <c r="K917" s="123"/>
    </row>
    <row r="918" ht="15.75" customHeight="1">
      <c r="G918" s="123"/>
      <c r="K918" s="123"/>
    </row>
    <row r="919" ht="15.75" customHeight="1">
      <c r="G919" s="123"/>
      <c r="K919" s="123"/>
    </row>
    <row r="920" ht="15.75" customHeight="1">
      <c r="G920" s="123"/>
      <c r="K920" s="123"/>
    </row>
    <row r="921" ht="15.75" customHeight="1">
      <c r="G921" s="123"/>
      <c r="K921" s="123"/>
    </row>
    <row r="922" ht="15.75" customHeight="1">
      <c r="G922" s="123"/>
      <c r="K922" s="123"/>
    </row>
    <row r="923" ht="15.75" customHeight="1">
      <c r="G923" s="123"/>
      <c r="K923" s="123"/>
    </row>
    <row r="924" ht="15.75" customHeight="1">
      <c r="G924" s="123"/>
      <c r="K924" s="123"/>
    </row>
    <row r="925" ht="15.75" customHeight="1">
      <c r="G925" s="123"/>
      <c r="K925" s="123"/>
    </row>
    <row r="926" ht="15.75" customHeight="1">
      <c r="G926" s="123"/>
      <c r="K926" s="123"/>
    </row>
    <row r="927" ht="15.75" customHeight="1">
      <c r="G927" s="123"/>
      <c r="K927" s="123"/>
    </row>
    <row r="928" ht="15.75" customHeight="1">
      <c r="G928" s="123"/>
      <c r="K928" s="123"/>
    </row>
    <row r="929" ht="15.75" customHeight="1">
      <c r="G929" s="123"/>
      <c r="K929" s="123"/>
    </row>
    <row r="930" ht="15.75" customHeight="1">
      <c r="G930" s="123"/>
      <c r="K930" s="123"/>
    </row>
    <row r="931" ht="15.75" customHeight="1">
      <c r="G931" s="123"/>
      <c r="K931" s="123"/>
    </row>
    <row r="932" ht="15.75" customHeight="1">
      <c r="G932" s="123"/>
      <c r="K932" s="123"/>
    </row>
    <row r="933" ht="15.75" customHeight="1">
      <c r="G933" s="123"/>
      <c r="K933" s="123"/>
    </row>
    <row r="934" ht="15.75" customHeight="1">
      <c r="G934" s="123"/>
      <c r="K934" s="123"/>
    </row>
    <row r="935" ht="15.75" customHeight="1">
      <c r="G935" s="123"/>
      <c r="K935" s="123"/>
    </row>
    <row r="936" ht="15.75" customHeight="1">
      <c r="G936" s="123"/>
      <c r="K936" s="123"/>
    </row>
    <row r="937" ht="15.75" customHeight="1">
      <c r="G937" s="123"/>
      <c r="K937" s="123"/>
    </row>
    <row r="938" ht="15.75" customHeight="1">
      <c r="G938" s="123"/>
      <c r="K938" s="123"/>
    </row>
    <row r="939" ht="15.75" customHeight="1">
      <c r="G939" s="123"/>
      <c r="K939" s="123"/>
    </row>
    <row r="940" ht="15.75" customHeight="1">
      <c r="G940" s="123"/>
      <c r="K940" s="123"/>
    </row>
    <row r="941" ht="15.75" customHeight="1">
      <c r="G941" s="123"/>
      <c r="K941" s="123"/>
    </row>
    <row r="942" ht="15.75" customHeight="1">
      <c r="G942" s="123"/>
      <c r="K942" s="123"/>
    </row>
    <row r="943" ht="15.75" customHeight="1">
      <c r="G943" s="123"/>
      <c r="K943" s="123"/>
    </row>
    <row r="944" ht="15.75" customHeight="1">
      <c r="G944" s="123"/>
      <c r="K944" s="123"/>
    </row>
    <row r="945" ht="15.75" customHeight="1">
      <c r="G945" s="123"/>
      <c r="K945" s="123"/>
    </row>
    <row r="946" ht="15.75" customHeight="1">
      <c r="G946" s="123"/>
      <c r="K946" s="123"/>
    </row>
    <row r="947" ht="15.75" customHeight="1">
      <c r="G947" s="123"/>
      <c r="K947" s="123"/>
    </row>
    <row r="948" ht="15.75" customHeight="1">
      <c r="G948" s="123"/>
      <c r="K948" s="123"/>
    </row>
    <row r="949" ht="15.75" customHeight="1">
      <c r="G949" s="123"/>
      <c r="K949" s="123"/>
    </row>
    <row r="950" ht="15.75" customHeight="1">
      <c r="G950" s="123"/>
      <c r="K950" s="123"/>
    </row>
    <row r="951" ht="15.75" customHeight="1">
      <c r="G951" s="123"/>
      <c r="K951" s="123"/>
    </row>
    <row r="952" ht="15.75" customHeight="1">
      <c r="G952" s="123"/>
      <c r="K952" s="123"/>
    </row>
    <row r="953" ht="15.75" customHeight="1">
      <c r="G953" s="123"/>
      <c r="K953" s="123"/>
    </row>
    <row r="954" ht="15.75" customHeight="1">
      <c r="G954" s="123"/>
      <c r="K954" s="123"/>
    </row>
    <row r="955" ht="15.75" customHeight="1">
      <c r="G955" s="123"/>
      <c r="K955" s="123"/>
    </row>
    <row r="956" ht="15.75" customHeight="1">
      <c r="G956" s="123"/>
      <c r="K956" s="123"/>
    </row>
    <row r="957" ht="15.75" customHeight="1">
      <c r="G957" s="123"/>
      <c r="K957" s="123"/>
    </row>
    <row r="958" ht="15.75" customHeight="1">
      <c r="G958" s="123"/>
      <c r="K958" s="123"/>
    </row>
    <row r="959" ht="15.75" customHeight="1">
      <c r="G959" s="123"/>
      <c r="K959" s="123"/>
    </row>
    <row r="960" ht="15.75" customHeight="1">
      <c r="G960" s="123"/>
      <c r="K960" s="123"/>
    </row>
    <row r="961" ht="15.75" customHeight="1">
      <c r="G961" s="123"/>
      <c r="K961" s="123"/>
    </row>
    <row r="962" ht="15.75" customHeight="1">
      <c r="G962" s="123"/>
      <c r="K962" s="123"/>
    </row>
    <row r="963" ht="15.75" customHeight="1">
      <c r="G963" s="123"/>
      <c r="K963" s="123"/>
    </row>
    <row r="964" ht="15.75" customHeight="1">
      <c r="G964" s="123"/>
      <c r="K964" s="123"/>
    </row>
    <row r="965" ht="15.75" customHeight="1">
      <c r="G965" s="123"/>
      <c r="K965" s="123"/>
    </row>
    <row r="966" ht="15.75" customHeight="1">
      <c r="G966" s="123"/>
      <c r="K966" s="123"/>
    </row>
    <row r="967" ht="15.75" customHeight="1">
      <c r="G967" s="123"/>
      <c r="K967" s="123"/>
    </row>
    <row r="968" ht="15.75" customHeight="1">
      <c r="G968" s="123"/>
      <c r="K968" s="123"/>
    </row>
    <row r="969" ht="15.75" customHeight="1">
      <c r="G969" s="123"/>
      <c r="K969" s="123"/>
    </row>
    <row r="970" ht="15.75" customHeight="1">
      <c r="G970" s="123"/>
      <c r="K970" s="123"/>
    </row>
    <row r="971" ht="15.75" customHeight="1">
      <c r="G971" s="123"/>
      <c r="K971" s="123"/>
    </row>
    <row r="972" ht="15.75" customHeight="1">
      <c r="G972" s="123"/>
      <c r="K972" s="123"/>
    </row>
    <row r="973" ht="15.75" customHeight="1">
      <c r="G973" s="123"/>
      <c r="K973" s="123"/>
    </row>
    <row r="974" ht="15.75" customHeight="1">
      <c r="G974" s="123"/>
      <c r="K974" s="123"/>
    </row>
    <row r="975" ht="15.75" customHeight="1">
      <c r="G975" s="123"/>
      <c r="K975" s="123"/>
    </row>
    <row r="976" ht="15.75" customHeight="1">
      <c r="G976" s="123"/>
      <c r="K976" s="123"/>
    </row>
    <row r="977" ht="15.75" customHeight="1">
      <c r="G977" s="123"/>
      <c r="K977" s="123"/>
    </row>
    <row r="978" ht="15.75" customHeight="1">
      <c r="G978" s="123"/>
      <c r="K978" s="123"/>
    </row>
    <row r="979" ht="15.75" customHeight="1">
      <c r="G979" s="123"/>
      <c r="K979" s="123"/>
    </row>
    <row r="980" ht="15.75" customHeight="1">
      <c r="G980" s="123"/>
      <c r="K980" s="123"/>
    </row>
    <row r="981" ht="15.75" customHeight="1">
      <c r="G981" s="123"/>
      <c r="K981" s="123"/>
    </row>
    <row r="982" ht="15.75" customHeight="1">
      <c r="G982" s="123"/>
      <c r="K982" s="123"/>
    </row>
    <row r="983" ht="15.75" customHeight="1">
      <c r="G983" s="123"/>
      <c r="K983" s="123"/>
    </row>
    <row r="984" ht="15.75" customHeight="1">
      <c r="G984" s="123"/>
      <c r="K984" s="123"/>
    </row>
    <row r="985" ht="15.75" customHeight="1">
      <c r="G985" s="123"/>
      <c r="K985" s="123"/>
    </row>
    <row r="986" ht="15.75" customHeight="1">
      <c r="G986" s="123"/>
      <c r="K986" s="123"/>
    </row>
    <row r="987" ht="15.75" customHeight="1">
      <c r="G987" s="123"/>
      <c r="K987" s="123"/>
    </row>
    <row r="988" ht="15.75" customHeight="1">
      <c r="G988" s="123"/>
      <c r="K988" s="123"/>
    </row>
    <row r="989" ht="15.75" customHeight="1">
      <c r="G989" s="123"/>
      <c r="K989" s="123"/>
    </row>
    <row r="990" ht="15.75" customHeight="1">
      <c r="G990" s="123"/>
      <c r="K990" s="123"/>
    </row>
    <row r="991" ht="15.75" customHeight="1">
      <c r="G991" s="123"/>
      <c r="K991" s="123"/>
    </row>
    <row r="992" ht="15.75" customHeight="1">
      <c r="G992" s="123"/>
      <c r="K992" s="123"/>
    </row>
    <row r="993" ht="15.75" customHeight="1">
      <c r="G993" s="123"/>
      <c r="K993" s="123"/>
    </row>
    <row r="994" ht="15.75" customHeight="1">
      <c r="G994" s="123"/>
      <c r="K994" s="123"/>
    </row>
    <row r="995" ht="15.75" customHeight="1">
      <c r="G995" s="123"/>
      <c r="K995" s="123"/>
    </row>
    <row r="996" ht="15.75" customHeight="1">
      <c r="G996" s="123"/>
      <c r="K996" s="123"/>
    </row>
    <row r="997" ht="15.75" customHeight="1">
      <c r="G997" s="123"/>
      <c r="K997" s="123"/>
    </row>
    <row r="998" ht="15.75" customHeight="1">
      <c r="G998" s="123"/>
      <c r="K998" s="123"/>
    </row>
    <row r="999" ht="15.75" customHeight="1">
      <c r="G999" s="123"/>
      <c r="K999" s="123"/>
    </row>
    <row r="1000" ht="15.75" customHeight="1">
      <c r="G1000" s="123"/>
      <c r="K1000" s="123"/>
    </row>
  </sheetData>
  <mergeCells count="10">
    <mergeCell ref="H4:H6"/>
    <mergeCell ref="I4:I6"/>
    <mergeCell ref="K4:K6"/>
    <mergeCell ref="A4:A6"/>
    <mergeCell ref="B4:B6"/>
    <mergeCell ref="C4:C6"/>
    <mergeCell ref="D4:D6"/>
    <mergeCell ref="E4:E6"/>
    <mergeCell ref="F4:F6"/>
    <mergeCell ref="G4:G6"/>
  </mergeCells>
  <dataValidations>
    <dataValidation type="list" allowBlank="1" showErrorMessage="1" sqref="K4 K7:K19 K21:K39 K41:K59 K61:K79 K81:K99 K101:K119 K121:K139 K141:K159 K161:K179 K181:K199 K201:K219 K221:K1000">
      <formula1>"IG,YT,TikTok"</formula1>
    </dataValidation>
    <dataValidation type="list" allowBlank="1" showErrorMessage="1" sqref="G4 G7:G19 G21:G39 G41:G59 G61:G79 G81:G99 G101:G119 G121:G139 G141:G159 G161:G179 G181:G199 G201:G219 G221:G1000">
      <formula1>"1st Email,2nd Email,3rd Email,Final Email,No reply,No deal,Not interested,Negotiating,Agreed"</formula1>
    </dataValidation>
  </dataValidations>
  <drawing r:id="rId1"/>
</worksheet>
</file>